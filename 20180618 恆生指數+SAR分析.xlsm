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277BFCA8-0A1C-E630-347C-98D23832170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 Tang\Documents\General\Stocks\"/>
    </mc:Choice>
  </mc:AlternateContent>
  <xr:revisionPtr revIDLastSave="0" documentId="13_ncr:1_{ABD575D5-D3B7-4E58-922C-14C24FBA0EC5}" xr6:coauthVersionLast="34" xr6:coauthVersionMax="34" xr10:uidLastSave="{00000000-0000-0000-0000-000000000000}"/>
  <bookViews>
    <workbookView xWindow="0" yWindow="0" windowWidth="20520" windowHeight="9473" xr2:uid="{FEC7DE85-DD1E-40B5-868D-178350650338}"/>
  </bookViews>
  <sheets>
    <sheet name="工作表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9" i="1" l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</calcChain>
</file>

<file path=xl/sharedStrings.xml><?xml version="1.0" encoding="utf-8"?>
<sst xmlns="http://schemas.openxmlformats.org/spreadsheetml/2006/main" count="257" uniqueCount="15">
  <si>
    <t>日期</t>
  </si>
  <si>
    <t>開市</t>
  </si>
  <si>
    <t>最高</t>
  </si>
  <si>
    <t>最低</t>
  </si>
  <si>
    <t>成交量</t>
  </si>
  <si>
    <t>收市</t>
  </si>
  <si>
    <t>經調整收市價</t>
  </si>
  <si>
    <t>SAR</t>
  </si>
  <si>
    <t>B/H/S</t>
  </si>
  <si>
    <t>H</t>
  </si>
  <si>
    <t>B</t>
  </si>
  <si>
    <t>S</t>
  </si>
  <si>
    <t>買入/賣出價格</t>
  </si>
  <si>
    <t>合計</t>
  </si>
  <si>
    <t>ABS(買入/賣出價格)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</si>
</sst>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" fontId="0" fillId="0" borderId="0" xfId="0" applyNumberFormat="1"/>
    <xf numFmtId="3" fontId="0" fillId="0" borderId="0" xfId="0" applyNumberFormat="1"/>
    <xf numFmtId="14" fontId="0" fillId="0" borderId="0" xfId="0" applyNumberFormat="1"/>
    <xf numFmtId="0" fontId="0" fillId="0" borderId="0" xfId="0" applyNumberFormat="1"/>
  </cellXfs>
  <cellStyles count="1">
    <cellStyle name="一般" xfId="0" builtinId="0"/>
  </cellStyles>
  <dxfs count="22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4" formatCode="#,##0.00"/>
    </dxf>
    <dxf>
      <numFmt numFmtId="0" formatCode="General"/>
    </dxf>
    <dxf>
      <numFmt numFmtId="4" formatCode="#,##0.00"/>
    </dxf>
    <dxf>
      <numFmt numFmtId="0" formatCode="General"/>
    </dxf>
    <dxf>
      <numFmt numFmtId="3" formatCode="#,##0"/>
    </dxf>
    <dxf>
      <numFmt numFmtId="4" formatCode="#,##0.00"/>
    </dxf>
    <dxf>
      <numFmt numFmtId="4" formatCode="#,##0.00"/>
    </dxf>
    <dxf>
      <numFmt numFmtId="0" formatCode="General"/>
    </dxf>
    <dxf>
      <numFmt numFmtId="4" formatCode="#,##0.00"/>
    </dxf>
    <dxf>
      <numFmt numFmtId="0" formatCode="General"/>
    </dxf>
    <dxf>
      <numFmt numFmtId="4" formatCode="#,##0.00"/>
    </dxf>
    <dxf>
      <numFmt numFmtId="0" formatCode="General"/>
    </dxf>
    <dxf>
      <numFmt numFmtId="4" formatCode="#,##0.00"/>
    </dxf>
    <dxf>
      <numFmt numFmtId="0" formatCode="General"/>
    </dxf>
    <dxf>
      <numFmt numFmtId="4" formatCode="#,##0.00"/>
    </dxf>
    <dxf>
      <numFmt numFmtId="0" formatCode="General"/>
    </dxf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恆生指數</a:t>
            </a:r>
            <a:endParaRPr lang="zh-HK" altLang="en-US"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工作表1!$E$1</c:f>
              <c:strCache>
                <c:ptCount val="1"/>
                <c:pt idx="0">
                  <c:v>收市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工作表1!$A$2:$A$248</c:f>
              <c:numCache>
                <c:formatCode>m/d/yyyy</c:formatCode>
                <c:ptCount val="247"/>
                <c:pt idx="0">
                  <c:v>42905</c:v>
                </c:pt>
                <c:pt idx="1">
                  <c:v>42906</c:v>
                </c:pt>
                <c:pt idx="2">
                  <c:v>42907</c:v>
                </c:pt>
                <c:pt idx="3">
                  <c:v>42908</c:v>
                </c:pt>
                <c:pt idx="4">
                  <c:v>42909</c:v>
                </c:pt>
                <c:pt idx="5">
                  <c:v>42912</c:v>
                </c:pt>
                <c:pt idx="6">
                  <c:v>42913</c:v>
                </c:pt>
                <c:pt idx="7">
                  <c:v>42914</c:v>
                </c:pt>
                <c:pt idx="8">
                  <c:v>42915</c:v>
                </c:pt>
                <c:pt idx="9">
                  <c:v>42916</c:v>
                </c:pt>
                <c:pt idx="10">
                  <c:v>42919</c:v>
                </c:pt>
                <c:pt idx="11">
                  <c:v>42920</c:v>
                </c:pt>
                <c:pt idx="12">
                  <c:v>42921</c:v>
                </c:pt>
                <c:pt idx="13">
                  <c:v>42922</c:v>
                </c:pt>
                <c:pt idx="14">
                  <c:v>42923</c:v>
                </c:pt>
                <c:pt idx="15">
                  <c:v>42926</c:v>
                </c:pt>
                <c:pt idx="16">
                  <c:v>42927</c:v>
                </c:pt>
                <c:pt idx="17">
                  <c:v>42928</c:v>
                </c:pt>
                <c:pt idx="18">
                  <c:v>42929</c:v>
                </c:pt>
                <c:pt idx="19">
                  <c:v>42930</c:v>
                </c:pt>
                <c:pt idx="20">
                  <c:v>42933</c:v>
                </c:pt>
                <c:pt idx="21">
                  <c:v>42934</c:v>
                </c:pt>
                <c:pt idx="22">
                  <c:v>42935</c:v>
                </c:pt>
                <c:pt idx="23">
                  <c:v>42936</c:v>
                </c:pt>
                <c:pt idx="24">
                  <c:v>42937</c:v>
                </c:pt>
                <c:pt idx="25">
                  <c:v>42940</c:v>
                </c:pt>
                <c:pt idx="26">
                  <c:v>42941</c:v>
                </c:pt>
                <c:pt idx="27">
                  <c:v>42942</c:v>
                </c:pt>
                <c:pt idx="28">
                  <c:v>42943</c:v>
                </c:pt>
                <c:pt idx="29">
                  <c:v>42944</c:v>
                </c:pt>
                <c:pt idx="30">
                  <c:v>42947</c:v>
                </c:pt>
                <c:pt idx="31">
                  <c:v>42948</c:v>
                </c:pt>
                <c:pt idx="32">
                  <c:v>42949</c:v>
                </c:pt>
                <c:pt idx="33">
                  <c:v>42950</c:v>
                </c:pt>
                <c:pt idx="34">
                  <c:v>42951</c:v>
                </c:pt>
                <c:pt idx="35">
                  <c:v>42954</c:v>
                </c:pt>
                <c:pt idx="36">
                  <c:v>42955</c:v>
                </c:pt>
                <c:pt idx="37">
                  <c:v>42956</c:v>
                </c:pt>
                <c:pt idx="38">
                  <c:v>42957</c:v>
                </c:pt>
                <c:pt idx="39">
                  <c:v>42958</c:v>
                </c:pt>
                <c:pt idx="40">
                  <c:v>42961</c:v>
                </c:pt>
                <c:pt idx="41">
                  <c:v>42962</c:v>
                </c:pt>
                <c:pt idx="42">
                  <c:v>42963</c:v>
                </c:pt>
                <c:pt idx="43">
                  <c:v>42964</c:v>
                </c:pt>
                <c:pt idx="44">
                  <c:v>42965</c:v>
                </c:pt>
                <c:pt idx="45">
                  <c:v>42968</c:v>
                </c:pt>
                <c:pt idx="46">
                  <c:v>42969</c:v>
                </c:pt>
                <c:pt idx="47">
                  <c:v>42971</c:v>
                </c:pt>
                <c:pt idx="48">
                  <c:v>42972</c:v>
                </c:pt>
                <c:pt idx="49">
                  <c:v>42975</c:v>
                </c:pt>
                <c:pt idx="50">
                  <c:v>42976</c:v>
                </c:pt>
                <c:pt idx="51">
                  <c:v>42977</c:v>
                </c:pt>
                <c:pt idx="52">
                  <c:v>42978</c:v>
                </c:pt>
                <c:pt idx="53">
                  <c:v>42979</c:v>
                </c:pt>
                <c:pt idx="54">
                  <c:v>42982</c:v>
                </c:pt>
                <c:pt idx="55">
                  <c:v>42983</c:v>
                </c:pt>
                <c:pt idx="56">
                  <c:v>42984</c:v>
                </c:pt>
                <c:pt idx="57">
                  <c:v>42985</c:v>
                </c:pt>
                <c:pt idx="58">
                  <c:v>42986</c:v>
                </c:pt>
                <c:pt idx="59">
                  <c:v>42989</c:v>
                </c:pt>
                <c:pt idx="60">
                  <c:v>42990</c:v>
                </c:pt>
                <c:pt idx="61">
                  <c:v>42991</c:v>
                </c:pt>
                <c:pt idx="62">
                  <c:v>42992</c:v>
                </c:pt>
                <c:pt idx="63">
                  <c:v>42993</c:v>
                </c:pt>
                <c:pt idx="64">
                  <c:v>42996</c:v>
                </c:pt>
                <c:pt idx="65">
                  <c:v>42997</c:v>
                </c:pt>
                <c:pt idx="66">
                  <c:v>42998</c:v>
                </c:pt>
                <c:pt idx="67">
                  <c:v>42999</c:v>
                </c:pt>
                <c:pt idx="68">
                  <c:v>43000</c:v>
                </c:pt>
                <c:pt idx="69">
                  <c:v>43003</c:v>
                </c:pt>
                <c:pt idx="70">
                  <c:v>43004</c:v>
                </c:pt>
                <c:pt idx="71">
                  <c:v>43005</c:v>
                </c:pt>
                <c:pt idx="72">
                  <c:v>43006</c:v>
                </c:pt>
                <c:pt idx="73">
                  <c:v>43007</c:v>
                </c:pt>
                <c:pt idx="74">
                  <c:v>43011</c:v>
                </c:pt>
                <c:pt idx="75">
                  <c:v>43012</c:v>
                </c:pt>
                <c:pt idx="76">
                  <c:v>43014</c:v>
                </c:pt>
                <c:pt idx="77">
                  <c:v>43017</c:v>
                </c:pt>
                <c:pt idx="78">
                  <c:v>43018</c:v>
                </c:pt>
                <c:pt idx="79">
                  <c:v>43019</c:v>
                </c:pt>
                <c:pt idx="80">
                  <c:v>43020</c:v>
                </c:pt>
                <c:pt idx="81">
                  <c:v>43021</c:v>
                </c:pt>
                <c:pt idx="82">
                  <c:v>43024</c:v>
                </c:pt>
                <c:pt idx="83">
                  <c:v>43025</c:v>
                </c:pt>
                <c:pt idx="84">
                  <c:v>43026</c:v>
                </c:pt>
                <c:pt idx="85">
                  <c:v>43027</c:v>
                </c:pt>
                <c:pt idx="86">
                  <c:v>43028</c:v>
                </c:pt>
                <c:pt idx="87">
                  <c:v>43031</c:v>
                </c:pt>
                <c:pt idx="88">
                  <c:v>43032</c:v>
                </c:pt>
                <c:pt idx="89">
                  <c:v>43033</c:v>
                </c:pt>
                <c:pt idx="90">
                  <c:v>43034</c:v>
                </c:pt>
                <c:pt idx="91">
                  <c:v>43035</c:v>
                </c:pt>
                <c:pt idx="92">
                  <c:v>43038</c:v>
                </c:pt>
                <c:pt idx="93">
                  <c:v>43039</c:v>
                </c:pt>
                <c:pt idx="94">
                  <c:v>43040</c:v>
                </c:pt>
                <c:pt idx="95">
                  <c:v>43041</c:v>
                </c:pt>
                <c:pt idx="96">
                  <c:v>43042</c:v>
                </c:pt>
                <c:pt idx="97">
                  <c:v>43045</c:v>
                </c:pt>
                <c:pt idx="98">
                  <c:v>43046</c:v>
                </c:pt>
                <c:pt idx="99">
                  <c:v>43047</c:v>
                </c:pt>
                <c:pt idx="100">
                  <c:v>43048</c:v>
                </c:pt>
                <c:pt idx="101">
                  <c:v>43049</c:v>
                </c:pt>
                <c:pt idx="102">
                  <c:v>43052</c:v>
                </c:pt>
                <c:pt idx="103">
                  <c:v>43053</c:v>
                </c:pt>
                <c:pt idx="104">
                  <c:v>43054</c:v>
                </c:pt>
                <c:pt idx="105">
                  <c:v>43055</c:v>
                </c:pt>
                <c:pt idx="106">
                  <c:v>43056</c:v>
                </c:pt>
                <c:pt idx="107">
                  <c:v>43059</c:v>
                </c:pt>
                <c:pt idx="108">
                  <c:v>43060</c:v>
                </c:pt>
                <c:pt idx="109">
                  <c:v>43061</c:v>
                </c:pt>
                <c:pt idx="110">
                  <c:v>43062</c:v>
                </c:pt>
                <c:pt idx="111">
                  <c:v>43063</c:v>
                </c:pt>
                <c:pt idx="112">
                  <c:v>43066</c:v>
                </c:pt>
                <c:pt idx="113">
                  <c:v>43067</c:v>
                </c:pt>
                <c:pt idx="114">
                  <c:v>43068</c:v>
                </c:pt>
                <c:pt idx="115">
                  <c:v>43069</c:v>
                </c:pt>
                <c:pt idx="116">
                  <c:v>43070</c:v>
                </c:pt>
                <c:pt idx="117">
                  <c:v>43073</c:v>
                </c:pt>
                <c:pt idx="118">
                  <c:v>43074</c:v>
                </c:pt>
                <c:pt idx="119">
                  <c:v>43075</c:v>
                </c:pt>
                <c:pt idx="120">
                  <c:v>43076</c:v>
                </c:pt>
                <c:pt idx="121">
                  <c:v>43077</c:v>
                </c:pt>
                <c:pt idx="122">
                  <c:v>43080</c:v>
                </c:pt>
                <c:pt idx="123">
                  <c:v>43081</c:v>
                </c:pt>
                <c:pt idx="124">
                  <c:v>43082</c:v>
                </c:pt>
                <c:pt idx="125">
                  <c:v>43083</c:v>
                </c:pt>
                <c:pt idx="126">
                  <c:v>43084</c:v>
                </c:pt>
                <c:pt idx="127">
                  <c:v>43087</c:v>
                </c:pt>
                <c:pt idx="128">
                  <c:v>43088</c:v>
                </c:pt>
                <c:pt idx="129">
                  <c:v>43089</c:v>
                </c:pt>
                <c:pt idx="130">
                  <c:v>43090</c:v>
                </c:pt>
                <c:pt idx="131">
                  <c:v>43091</c:v>
                </c:pt>
                <c:pt idx="132">
                  <c:v>43096</c:v>
                </c:pt>
                <c:pt idx="133">
                  <c:v>43097</c:v>
                </c:pt>
                <c:pt idx="134">
                  <c:v>43098</c:v>
                </c:pt>
                <c:pt idx="135">
                  <c:v>43102</c:v>
                </c:pt>
                <c:pt idx="136">
                  <c:v>43103</c:v>
                </c:pt>
                <c:pt idx="137">
                  <c:v>43104</c:v>
                </c:pt>
                <c:pt idx="138">
                  <c:v>43105</c:v>
                </c:pt>
                <c:pt idx="139">
                  <c:v>43108</c:v>
                </c:pt>
                <c:pt idx="140">
                  <c:v>43109</c:v>
                </c:pt>
                <c:pt idx="141">
                  <c:v>43110</c:v>
                </c:pt>
                <c:pt idx="142">
                  <c:v>43111</c:v>
                </c:pt>
                <c:pt idx="143">
                  <c:v>43112</c:v>
                </c:pt>
                <c:pt idx="144">
                  <c:v>43115</c:v>
                </c:pt>
                <c:pt idx="145">
                  <c:v>43116</c:v>
                </c:pt>
                <c:pt idx="146">
                  <c:v>43117</c:v>
                </c:pt>
                <c:pt idx="147">
                  <c:v>43118</c:v>
                </c:pt>
                <c:pt idx="148">
                  <c:v>43119</c:v>
                </c:pt>
                <c:pt idx="149">
                  <c:v>43122</c:v>
                </c:pt>
                <c:pt idx="150">
                  <c:v>43123</c:v>
                </c:pt>
                <c:pt idx="151">
                  <c:v>43124</c:v>
                </c:pt>
                <c:pt idx="152">
                  <c:v>43125</c:v>
                </c:pt>
                <c:pt idx="153">
                  <c:v>43126</c:v>
                </c:pt>
                <c:pt idx="154">
                  <c:v>43129</c:v>
                </c:pt>
                <c:pt idx="155">
                  <c:v>43130</c:v>
                </c:pt>
                <c:pt idx="156">
                  <c:v>43131</c:v>
                </c:pt>
                <c:pt idx="157">
                  <c:v>43132</c:v>
                </c:pt>
                <c:pt idx="158">
                  <c:v>43133</c:v>
                </c:pt>
                <c:pt idx="159">
                  <c:v>43136</c:v>
                </c:pt>
                <c:pt idx="160">
                  <c:v>43137</c:v>
                </c:pt>
                <c:pt idx="161">
                  <c:v>43138</c:v>
                </c:pt>
                <c:pt idx="162">
                  <c:v>43139</c:v>
                </c:pt>
                <c:pt idx="163">
                  <c:v>43140</c:v>
                </c:pt>
                <c:pt idx="164">
                  <c:v>43143</c:v>
                </c:pt>
                <c:pt idx="165">
                  <c:v>43144</c:v>
                </c:pt>
                <c:pt idx="166">
                  <c:v>43145</c:v>
                </c:pt>
                <c:pt idx="167">
                  <c:v>43146</c:v>
                </c:pt>
                <c:pt idx="168">
                  <c:v>43151</c:v>
                </c:pt>
                <c:pt idx="169">
                  <c:v>43152</c:v>
                </c:pt>
                <c:pt idx="170">
                  <c:v>43153</c:v>
                </c:pt>
                <c:pt idx="171">
                  <c:v>43154</c:v>
                </c:pt>
                <c:pt idx="172">
                  <c:v>43157</c:v>
                </c:pt>
                <c:pt idx="173">
                  <c:v>43158</c:v>
                </c:pt>
                <c:pt idx="174">
                  <c:v>43159</c:v>
                </c:pt>
                <c:pt idx="175">
                  <c:v>43160</c:v>
                </c:pt>
                <c:pt idx="176">
                  <c:v>43161</c:v>
                </c:pt>
                <c:pt idx="177">
                  <c:v>43164</c:v>
                </c:pt>
                <c:pt idx="178">
                  <c:v>43165</c:v>
                </c:pt>
                <c:pt idx="179">
                  <c:v>43166</c:v>
                </c:pt>
                <c:pt idx="180">
                  <c:v>43167</c:v>
                </c:pt>
                <c:pt idx="181">
                  <c:v>43168</c:v>
                </c:pt>
                <c:pt idx="182">
                  <c:v>43171</c:v>
                </c:pt>
                <c:pt idx="183">
                  <c:v>43172</c:v>
                </c:pt>
                <c:pt idx="184">
                  <c:v>43173</c:v>
                </c:pt>
                <c:pt idx="185">
                  <c:v>43174</c:v>
                </c:pt>
                <c:pt idx="186">
                  <c:v>43175</c:v>
                </c:pt>
                <c:pt idx="187">
                  <c:v>43178</c:v>
                </c:pt>
                <c:pt idx="188">
                  <c:v>43179</c:v>
                </c:pt>
                <c:pt idx="189">
                  <c:v>43180</c:v>
                </c:pt>
                <c:pt idx="190">
                  <c:v>43181</c:v>
                </c:pt>
                <c:pt idx="191">
                  <c:v>43182</c:v>
                </c:pt>
                <c:pt idx="192">
                  <c:v>43185</c:v>
                </c:pt>
                <c:pt idx="193">
                  <c:v>43186</c:v>
                </c:pt>
                <c:pt idx="194">
                  <c:v>43187</c:v>
                </c:pt>
                <c:pt idx="195">
                  <c:v>43188</c:v>
                </c:pt>
                <c:pt idx="196">
                  <c:v>43193</c:v>
                </c:pt>
                <c:pt idx="197">
                  <c:v>43194</c:v>
                </c:pt>
                <c:pt idx="198">
                  <c:v>43196</c:v>
                </c:pt>
                <c:pt idx="199">
                  <c:v>43199</c:v>
                </c:pt>
                <c:pt idx="200">
                  <c:v>43200</c:v>
                </c:pt>
                <c:pt idx="201">
                  <c:v>43201</c:v>
                </c:pt>
                <c:pt idx="202">
                  <c:v>43202</c:v>
                </c:pt>
                <c:pt idx="203">
                  <c:v>43203</c:v>
                </c:pt>
                <c:pt idx="204">
                  <c:v>43206</c:v>
                </c:pt>
                <c:pt idx="205">
                  <c:v>43207</c:v>
                </c:pt>
                <c:pt idx="206">
                  <c:v>43208</c:v>
                </c:pt>
                <c:pt idx="207">
                  <c:v>43209</c:v>
                </c:pt>
                <c:pt idx="208">
                  <c:v>43210</c:v>
                </c:pt>
                <c:pt idx="209">
                  <c:v>43213</c:v>
                </c:pt>
                <c:pt idx="210">
                  <c:v>43214</c:v>
                </c:pt>
                <c:pt idx="211">
                  <c:v>43215</c:v>
                </c:pt>
                <c:pt idx="212">
                  <c:v>43216</c:v>
                </c:pt>
                <c:pt idx="213">
                  <c:v>43217</c:v>
                </c:pt>
                <c:pt idx="214">
                  <c:v>43220</c:v>
                </c:pt>
                <c:pt idx="215">
                  <c:v>43222</c:v>
                </c:pt>
                <c:pt idx="216">
                  <c:v>43223</c:v>
                </c:pt>
                <c:pt idx="217">
                  <c:v>43224</c:v>
                </c:pt>
                <c:pt idx="218">
                  <c:v>43227</c:v>
                </c:pt>
                <c:pt idx="219">
                  <c:v>43228</c:v>
                </c:pt>
                <c:pt idx="220">
                  <c:v>43229</c:v>
                </c:pt>
                <c:pt idx="221">
                  <c:v>43230</c:v>
                </c:pt>
                <c:pt idx="222">
                  <c:v>43231</c:v>
                </c:pt>
                <c:pt idx="223">
                  <c:v>43234</c:v>
                </c:pt>
                <c:pt idx="224">
                  <c:v>43235</c:v>
                </c:pt>
                <c:pt idx="225">
                  <c:v>43236</c:v>
                </c:pt>
                <c:pt idx="226">
                  <c:v>43237</c:v>
                </c:pt>
                <c:pt idx="227">
                  <c:v>43238</c:v>
                </c:pt>
                <c:pt idx="228">
                  <c:v>43241</c:v>
                </c:pt>
                <c:pt idx="229">
                  <c:v>43243</c:v>
                </c:pt>
                <c:pt idx="230">
                  <c:v>43244</c:v>
                </c:pt>
                <c:pt idx="231">
                  <c:v>43245</c:v>
                </c:pt>
                <c:pt idx="232">
                  <c:v>43248</c:v>
                </c:pt>
                <c:pt idx="233">
                  <c:v>43249</c:v>
                </c:pt>
                <c:pt idx="234">
                  <c:v>43250</c:v>
                </c:pt>
                <c:pt idx="235">
                  <c:v>43251</c:v>
                </c:pt>
                <c:pt idx="236">
                  <c:v>43252</c:v>
                </c:pt>
                <c:pt idx="237">
                  <c:v>43255</c:v>
                </c:pt>
                <c:pt idx="238">
                  <c:v>43256</c:v>
                </c:pt>
                <c:pt idx="239">
                  <c:v>43257</c:v>
                </c:pt>
                <c:pt idx="240">
                  <c:v>43258</c:v>
                </c:pt>
                <c:pt idx="241">
                  <c:v>43259</c:v>
                </c:pt>
                <c:pt idx="242">
                  <c:v>43262</c:v>
                </c:pt>
                <c:pt idx="243">
                  <c:v>43263</c:v>
                </c:pt>
                <c:pt idx="244">
                  <c:v>43264</c:v>
                </c:pt>
                <c:pt idx="245">
                  <c:v>43265</c:v>
                </c:pt>
                <c:pt idx="246">
                  <c:v>43266</c:v>
                </c:pt>
              </c:numCache>
            </c:numRef>
          </c:cat>
          <c:val>
            <c:numRef>
              <c:f>工作表1!$E$2:$E$248</c:f>
              <c:numCache>
                <c:formatCode>#,##0.00</c:formatCode>
                <c:ptCount val="247"/>
                <c:pt idx="0">
                  <c:v>25924.55</c:v>
                </c:pt>
                <c:pt idx="1">
                  <c:v>25843.040000000001</c:v>
                </c:pt>
                <c:pt idx="2">
                  <c:v>25694.58</c:v>
                </c:pt>
                <c:pt idx="3">
                  <c:v>25674.53</c:v>
                </c:pt>
                <c:pt idx="4">
                  <c:v>25670.05</c:v>
                </c:pt>
                <c:pt idx="5">
                  <c:v>25871.89</c:v>
                </c:pt>
                <c:pt idx="6">
                  <c:v>25839.99</c:v>
                </c:pt>
                <c:pt idx="7">
                  <c:v>25683.5</c:v>
                </c:pt>
                <c:pt idx="8">
                  <c:v>25965.42</c:v>
                </c:pt>
                <c:pt idx="9">
                  <c:v>25764.58</c:v>
                </c:pt>
                <c:pt idx="10">
                  <c:v>25784.17</c:v>
                </c:pt>
                <c:pt idx="11">
                  <c:v>25389.01</c:v>
                </c:pt>
                <c:pt idx="12">
                  <c:v>25521.97</c:v>
                </c:pt>
                <c:pt idx="13">
                  <c:v>25465.22</c:v>
                </c:pt>
                <c:pt idx="14">
                  <c:v>25340.85</c:v>
                </c:pt>
                <c:pt idx="15">
                  <c:v>25500.06</c:v>
                </c:pt>
                <c:pt idx="16">
                  <c:v>25877.64</c:v>
                </c:pt>
                <c:pt idx="17">
                  <c:v>26043.64</c:v>
                </c:pt>
                <c:pt idx="18">
                  <c:v>26346.17</c:v>
                </c:pt>
                <c:pt idx="19">
                  <c:v>26389.23</c:v>
                </c:pt>
                <c:pt idx="20">
                  <c:v>26470.58</c:v>
                </c:pt>
                <c:pt idx="21">
                  <c:v>26524.94</c:v>
                </c:pt>
                <c:pt idx="22">
                  <c:v>26672.16</c:v>
                </c:pt>
                <c:pt idx="23">
                  <c:v>26740.21</c:v>
                </c:pt>
                <c:pt idx="24">
                  <c:v>26706.09</c:v>
                </c:pt>
                <c:pt idx="25">
                  <c:v>26846.83</c:v>
                </c:pt>
                <c:pt idx="26">
                  <c:v>26852.05</c:v>
                </c:pt>
                <c:pt idx="27">
                  <c:v>26941.02</c:v>
                </c:pt>
                <c:pt idx="28">
                  <c:v>27131.17</c:v>
                </c:pt>
                <c:pt idx="29">
                  <c:v>26979.39</c:v>
                </c:pt>
                <c:pt idx="30">
                  <c:v>27323.99</c:v>
                </c:pt>
                <c:pt idx="31">
                  <c:v>27540.23</c:v>
                </c:pt>
                <c:pt idx="32">
                  <c:v>27607.38</c:v>
                </c:pt>
                <c:pt idx="33">
                  <c:v>27531.01</c:v>
                </c:pt>
                <c:pt idx="34">
                  <c:v>27562.68</c:v>
                </c:pt>
                <c:pt idx="35">
                  <c:v>27690.36</c:v>
                </c:pt>
                <c:pt idx="36">
                  <c:v>27854.91</c:v>
                </c:pt>
                <c:pt idx="37">
                  <c:v>27757.09</c:v>
                </c:pt>
                <c:pt idx="38">
                  <c:v>27444</c:v>
                </c:pt>
                <c:pt idx="39">
                  <c:v>26883.51</c:v>
                </c:pt>
                <c:pt idx="40">
                  <c:v>27250.23</c:v>
                </c:pt>
                <c:pt idx="41">
                  <c:v>27174.959999999999</c:v>
                </c:pt>
                <c:pt idx="42">
                  <c:v>27409.07</c:v>
                </c:pt>
                <c:pt idx="43">
                  <c:v>27344.22</c:v>
                </c:pt>
                <c:pt idx="44">
                  <c:v>27047.57</c:v>
                </c:pt>
                <c:pt idx="45">
                  <c:v>27154.68</c:v>
                </c:pt>
                <c:pt idx="46">
                  <c:v>27401.67</c:v>
                </c:pt>
                <c:pt idx="47">
                  <c:v>27518.6</c:v>
                </c:pt>
                <c:pt idx="48">
                  <c:v>27848.16</c:v>
                </c:pt>
                <c:pt idx="49">
                  <c:v>27863.29</c:v>
                </c:pt>
                <c:pt idx="50">
                  <c:v>27765.01</c:v>
                </c:pt>
                <c:pt idx="51">
                  <c:v>28094.61</c:v>
                </c:pt>
                <c:pt idx="52">
                  <c:v>27970.3</c:v>
                </c:pt>
                <c:pt idx="53">
                  <c:v>27953.16</c:v>
                </c:pt>
                <c:pt idx="54">
                  <c:v>27740.26</c:v>
                </c:pt>
                <c:pt idx="55">
                  <c:v>27741.35</c:v>
                </c:pt>
                <c:pt idx="56">
                  <c:v>27613.759999999998</c:v>
                </c:pt>
                <c:pt idx="57">
                  <c:v>27522.92</c:v>
                </c:pt>
                <c:pt idx="58">
                  <c:v>27668.47</c:v>
                </c:pt>
                <c:pt idx="59">
                  <c:v>27955.13</c:v>
                </c:pt>
                <c:pt idx="60">
                  <c:v>27972.240000000002</c:v>
                </c:pt>
                <c:pt idx="61">
                  <c:v>27894.080000000002</c:v>
                </c:pt>
                <c:pt idx="62">
                  <c:v>27777.200000000001</c:v>
                </c:pt>
                <c:pt idx="63">
                  <c:v>27807.59</c:v>
                </c:pt>
                <c:pt idx="64">
                  <c:v>28159.77</c:v>
                </c:pt>
                <c:pt idx="65">
                  <c:v>28051.41</c:v>
                </c:pt>
                <c:pt idx="66">
                  <c:v>28127.8</c:v>
                </c:pt>
                <c:pt idx="67">
                  <c:v>28110.33</c:v>
                </c:pt>
                <c:pt idx="68">
                  <c:v>27880.53</c:v>
                </c:pt>
                <c:pt idx="69">
                  <c:v>27500.34</c:v>
                </c:pt>
                <c:pt idx="70">
                  <c:v>27513.01</c:v>
                </c:pt>
                <c:pt idx="71">
                  <c:v>27642.43</c:v>
                </c:pt>
                <c:pt idx="72">
                  <c:v>27421.599999999999</c:v>
                </c:pt>
                <c:pt idx="73">
                  <c:v>27554.3</c:v>
                </c:pt>
                <c:pt idx="74">
                  <c:v>28173.21</c:v>
                </c:pt>
                <c:pt idx="75">
                  <c:v>28379.18</c:v>
                </c:pt>
                <c:pt idx="76">
                  <c:v>28458.04</c:v>
                </c:pt>
                <c:pt idx="77">
                  <c:v>28326.59</c:v>
                </c:pt>
                <c:pt idx="78">
                  <c:v>28490.83</c:v>
                </c:pt>
                <c:pt idx="79">
                  <c:v>28389.57</c:v>
                </c:pt>
                <c:pt idx="80">
                  <c:v>28459.03</c:v>
                </c:pt>
                <c:pt idx="81">
                  <c:v>28476.43</c:v>
                </c:pt>
                <c:pt idx="82">
                  <c:v>28692.799999999999</c:v>
                </c:pt>
                <c:pt idx="83">
                  <c:v>28697.49</c:v>
                </c:pt>
                <c:pt idx="84">
                  <c:v>28711.759999999998</c:v>
                </c:pt>
                <c:pt idx="85">
                  <c:v>28159.09</c:v>
                </c:pt>
                <c:pt idx="86">
                  <c:v>28487.24</c:v>
                </c:pt>
                <c:pt idx="87">
                  <c:v>28305.88</c:v>
                </c:pt>
                <c:pt idx="88">
                  <c:v>28154.97</c:v>
                </c:pt>
                <c:pt idx="89">
                  <c:v>28302.89</c:v>
                </c:pt>
                <c:pt idx="90">
                  <c:v>28202.38</c:v>
                </c:pt>
                <c:pt idx="91">
                  <c:v>28438.85</c:v>
                </c:pt>
                <c:pt idx="92">
                  <c:v>28336.19</c:v>
                </c:pt>
                <c:pt idx="93">
                  <c:v>28245.54</c:v>
                </c:pt>
                <c:pt idx="94">
                  <c:v>28594.06</c:v>
                </c:pt>
                <c:pt idx="95">
                  <c:v>28518.639999999999</c:v>
                </c:pt>
                <c:pt idx="96">
                  <c:v>28603.61</c:v>
                </c:pt>
                <c:pt idx="97">
                  <c:v>28596.799999999999</c:v>
                </c:pt>
                <c:pt idx="98">
                  <c:v>28994.34</c:v>
                </c:pt>
                <c:pt idx="99">
                  <c:v>28907.599999999999</c:v>
                </c:pt>
                <c:pt idx="100">
                  <c:v>29136.57</c:v>
                </c:pt>
                <c:pt idx="101">
                  <c:v>29120.92</c:v>
                </c:pt>
                <c:pt idx="102">
                  <c:v>29182.18</c:v>
                </c:pt>
                <c:pt idx="103">
                  <c:v>29152.12</c:v>
                </c:pt>
                <c:pt idx="104">
                  <c:v>28851.69</c:v>
                </c:pt>
                <c:pt idx="105">
                  <c:v>29018.76</c:v>
                </c:pt>
                <c:pt idx="106">
                  <c:v>29199.040000000001</c:v>
                </c:pt>
                <c:pt idx="107">
                  <c:v>29260.31</c:v>
                </c:pt>
                <c:pt idx="108">
                  <c:v>29818.07</c:v>
                </c:pt>
                <c:pt idx="109">
                  <c:v>30003.49</c:v>
                </c:pt>
                <c:pt idx="110">
                  <c:v>29707.94</c:v>
                </c:pt>
                <c:pt idx="111">
                  <c:v>29866.32</c:v>
                </c:pt>
                <c:pt idx="112">
                  <c:v>29686.19</c:v>
                </c:pt>
                <c:pt idx="113">
                  <c:v>29680.85</c:v>
                </c:pt>
                <c:pt idx="114">
                  <c:v>29623.83</c:v>
                </c:pt>
                <c:pt idx="115">
                  <c:v>29177.35</c:v>
                </c:pt>
                <c:pt idx="116">
                  <c:v>29074.240000000002</c:v>
                </c:pt>
                <c:pt idx="117">
                  <c:v>29138.28</c:v>
                </c:pt>
                <c:pt idx="118">
                  <c:v>28842.799999999999</c:v>
                </c:pt>
                <c:pt idx="119">
                  <c:v>28224.799999999999</c:v>
                </c:pt>
                <c:pt idx="120">
                  <c:v>28303.19</c:v>
                </c:pt>
                <c:pt idx="121">
                  <c:v>28639.85</c:v>
                </c:pt>
                <c:pt idx="122">
                  <c:v>28965.29</c:v>
                </c:pt>
                <c:pt idx="123">
                  <c:v>28793.88</c:v>
                </c:pt>
                <c:pt idx="124">
                  <c:v>29222.1</c:v>
                </c:pt>
                <c:pt idx="125">
                  <c:v>29166.38</c:v>
                </c:pt>
                <c:pt idx="126">
                  <c:v>28848.11</c:v>
                </c:pt>
                <c:pt idx="127">
                  <c:v>29050.41</c:v>
                </c:pt>
                <c:pt idx="128">
                  <c:v>29253.66</c:v>
                </c:pt>
                <c:pt idx="129">
                  <c:v>29234.09</c:v>
                </c:pt>
                <c:pt idx="130">
                  <c:v>29367.06</c:v>
                </c:pt>
                <c:pt idx="131">
                  <c:v>29578.01</c:v>
                </c:pt>
                <c:pt idx="132">
                  <c:v>29597.66</c:v>
                </c:pt>
                <c:pt idx="133">
                  <c:v>29863.71</c:v>
                </c:pt>
                <c:pt idx="134">
                  <c:v>29919.15</c:v>
                </c:pt>
                <c:pt idx="135">
                  <c:v>30515.31</c:v>
                </c:pt>
                <c:pt idx="136">
                  <c:v>30560.95</c:v>
                </c:pt>
                <c:pt idx="137">
                  <c:v>30736.48</c:v>
                </c:pt>
                <c:pt idx="138">
                  <c:v>30814.639999999999</c:v>
                </c:pt>
                <c:pt idx="139">
                  <c:v>30899.53</c:v>
                </c:pt>
                <c:pt idx="140">
                  <c:v>31011.41</c:v>
                </c:pt>
                <c:pt idx="141">
                  <c:v>31073.72</c:v>
                </c:pt>
                <c:pt idx="142">
                  <c:v>31120.39</c:v>
                </c:pt>
                <c:pt idx="143">
                  <c:v>31412.54</c:v>
                </c:pt>
                <c:pt idx="144">
                  <c:v>31338.87</c:v>
                </c:pt>
                <c:pt idx="145">
                  <c:v>31904.75</c:v>
                </c:pt>
                <c:pt idx="146">
                  <c:v>31983.41</c:v>
                </c:pt>
                <c:pt idx="147">
                  <c:v>32121.94</c:v>
                </c:pt>
                <c:pt idx="148">
                  <c:v>32254.89</c:v>
                </c:pt>
                <c:pt idx="149">
                  <c:v>32393.41</c:v>
                </c:pt>
                <c:pt idx="150">
                  <c:v>32930.699999999997</c:v>
                </c:pt>
                <c:pt idx="151">
                  <c:v>32958.69</c:v>
                </c:pt>
                <c:pt idx="152">
                  <c:v>32654.45</c:v>
                </c:pt>
                <c:pt idx="153">
                  <c:v>33154.120000000003</c:v>
                </c:pt>
                <c:pt idx="154">
                  <c:v>32966.89</c:v>
                </c:pt>
                <c:pt idx="155">
                  <c:v>32607.29</c:v>
                </c:pt>
                <c:pt idx="156">
                  <c:v>32887.269999999997</c:v>
                </c:pt>
                <c:pt idx="157">
                  <c:v>32642.09</c:v>
                </c:pt>
                <c:pt idx="158">
                  <c:v>32601.78</c:v>
                </c:pt>
                <c:pt idx="159">
                  <c:v>32245.22</c:v>
                </c:pt>
                <c:pt idx="160">
                  <c:v>30595.42</c:v>
                </c:pt>
                <c:pt idx="161">
                  <c:v>30323.200000000001</c:v>
                </c:pt>
                <c:pt idx="162">
                  <c:v>30451.27</c:v>
                </c:pt>
                <c:pt idx="163">
                  <c:v>29507.42</c:v>
                </c:pt>
                <c:pt idx="164">
                  <c:v>29459.63</c:v>
                </c:pt>
                <c:pt idx="165">
                  <c:v>29839.53</c:v>
                </c:pt>
                <c:pt idx="166">
                  <c:v>30515.599999999999</c:v>
                </c:pt>
                <c:pt idx="167">
                  <c:v>31115.43</c:v>
                </c:pt>
                <c:pt idx="168">
                  <c:v>30873.63</c:v>
                </c:pt>
                <c:pt idx="169">
                  <c:v>31431.89</c:v>
                </c:pt>
                <c:pt idx="170">
                  <c:v>30965.68</c:v>
                </c:pt>
                <c:pt idx="171">
                  <c:v>31267.17</c:v>
                </c:pt>
                <c:pt idx="172">
                  <c:v>31498.6</c:v>
                </c:pt>
                <c:pt idx="173">
                  <c:v>31268.66</c:v>
                </c:pt>
                <c:pt idx="174">
                  <c:v>30844.720000000001</c:v>
                </c:pt>
                <c:pt idx="175">
                  <c:v>31044.25</c:v>
                </c:pt>
                <c:pt idx="176">
                  <c:v>30583.45</c:v>
                </c:pt>
                <c:pt idx="177">
                  <c:v>29886.39</c:v>
                </c:pt>
                <c:pt idx="178">
                  <c:v>30510.73</c:v>
                </c:pt>
                <c:pt idx="179">
                  <c:v>30196.92</c:v>
                </c:pt>
                <c:pt idx="180">
                  <c:v>30654.52</c:v>
                </c:pt>
                <c:pt idx="181">
                  <c:v>30996.21</c:v>
                </c:pt>
                <c:pt idx="182">
                  <c:v>31594.33</c:v>
                </c:pt>
                <c:pt idx="183">
                  <c:v>31601.45</c:v>
                </c:pt>
                <c:pt idx="184">
                  <c:v>31435.01</c:v>
                </c:pt>
                <c:pt idx="185">
                  <c:v>31541.1</c:v>
                </c:pt>
                <c:pt idx="186">
                  <c:v>31501.97</c:v>
                </c:pt>
                <c:pt idx="187">
                  <c:v>31513.759999999998</c:v>
                </c:pt>
                <c:pt idx="188">
                  <c:v>31549.93</c:v>
                </c:pt>
                <c:pt idx="189">
                  <c:v>31414.52</c:v>
                </c:pt>
                <c:pt idx="190">
                  <c:v>31071.05</c:v>
                </c:pt>
                <c:pt idx="191">
                  <c:v>30309.29</c:v>
                </c:pt>
                <c:pt idx="192">
                  <c:v>30548.77</c:v>
                </c:pt>
                <c:pt idx="193">
                  <c:v>30790.83</c:v>
                </c:pt>
                <c:pt idx="194">
                  <c:v>30022.53</c:v>
                </c:pt>
                <c:pt idx="195">
                  <c:v>30093.38</c:v>
                </c:pt>
                <c:pt idx="196">
                  <c:v>30180.1</c:v>
                </c:pt>
                <c:pt idx="197">
                  <c:v>29518.69</c:v>
                </c:pt>
                <c:pt idx="198">
                  <c:v>29844.94</c:v>
                </c:pt>
                <c:pt idx="199">
                  <c:v>30229.58</c:v>
                </c:pt>
                <c:pt idx="200">
                  <c:v>30728.74</c:v>
                </c:pt>
                <c:pt idx="201">
                  <c:v>30897.71</c:v>
                </c:pt>
                <c:pt idx="202">
                  <c:v>30831.279999999999</c:v>
                </c:pt>
                <c:pt idx="203">
                  <c:v>30808.38</c:v>
                </c:pt>
                <c:pt idx="204">
                  <c:v>30315.59</c:v>
                </c:pt>
                <c:pt idx="205">
                  <c:v>30062.75</c:v>
                </c:pt>
                <c:pt idx="206">
                  <c:v>30284.25</c:v>
                </c:pt>
                <c:pt idx="207">
                  <c:v>30708.44</c:v>
                </c:pt>
                <c:pt idx="208">
                  <c:v>30418.33</c:v>
                </c:pt>
                <c:pt idx="209">
                  <c:v>30254.400000000001</c:v>
                </c:pt>
                <c:pt idx="210">
                  <c:v>30636.240000000002</c:v>
                </c:pt>
                <c:pt idx="211">
                  <c:v>30328.15</c:v>
                </c:pt>
                <c:pt idx="212">
                  <c:v>30007.68</c:v>
                </c:pt>
                <c:pt idx="213">
                  <c:v>30280.67</c:v>
                </c:pt>
                <c:pt idx="214">
                  <c:v>30808.45</c:v>
                </c:pt>
                <c:pt idx="215">
                  <c:v>30723.88</c:v>
                </c:pt>
                <c:pt idx="216">
                  <c:v>30313.37</c:v>
                </c:pt>
                <c:pt idx="217">
                  <c:v>29926.5</c:v>
                </c:pt>
                <c:pt idx="218">
                  <c:v>29994.26</c:v>
                </c:pt>
                <c:pt idx="219">
                  <c:v>30402.81</c:v>
                </c:pt>
                <c:pt idx="220">
                  <c:v>30536.14</c:v>
                </c:pt>
                <c:pt idx="221">
                  <c:v>30809.22</c:v>
                </c:pt>
                <c:pt idx="222">
                  <c:v>31122.06</c:v>
                </c:pt>
                <c:pt idx="223">
                  <c:v>31541.08</c:v>
                </c:pt>
                <c:pt idx="224">
                  <c:v>31152.03</c:v>
                </c:pt>
                <c:pt idx="225">
                  <c:v>31110.2</c:v>
                </c:pt>
                <c:pt idx="226">
                  <c:v>30942.15</c:v>
                </c:pt>
                <c:pt idx="227">
                  <c:v>31047.91</c:v>
                </c:pt>
                <c:pt idx="228">
                  <c:v>31234.35</c:v>
                </c:pt>
                <c:pt idx="229">
                  <c:v>30665.64</c:v>
                </c:pt>
                <c:pt idx="230">
                  <c:v>30760.41</c:v>
                </c:pt>
                <c:pt idx="231">
                  <c:v>30588.04</c:v>
                </c:pt>
                <c:pt idx="232">
                  <c:v>30792.26</c:v>
                </c:pt>
                <c:pt idx="233">
                  <c:v>30484.58</c:v>
                </c:pt>
                <c:pt idx="234">
                  <c:v>30056.79</c:v>
                </c:pt>
                <c:pt idx="235">
                  <c:v>30468.560000000001</c:v>
                </c:pt>
                <c:pt idx="236">
                  <c:v>30492.91</c:v>
                </c:pt>
                <c:pt idx="237">
                  <c:v>30997.98</c:v>
                </c:pt>
                <c:pt idx="238">
                  <c:v>31093.45</c:v>
                </c:pt>
                <c:pt idx="239">
                  <c:v>31259.1</c:v>
                </c:pt>
                <c:pt idx="240">
                  <c:v>31512.63</c:v>
                </c:pt>
                <c:pt idx="241">
                  <c:v>30958.21</c:v>
                </c:pt>
                <c:pt idx="242">
                  <c:v>31063.7</c:v>
                </c:pt>
                <c:pt idx="243">
                  <c:v>31103.06</c:v>
                </c:pt>
                <c:pt idx="244">
                  <c:v>30725.15</c:v>
                </c:pt>
                <c:pt idx="245">
                  <c:v>30440.17</c:v>
                </c:pt>
                <c:pt idx="246">
                  <c:v>30309.49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A80-B7D7-A562D97AFCE2}"/>
            </c:ext>
          </c:extLst>
        </c:ser>
        <c:ser>
          <c:idx val="1"/>
          <c:order val="1"/>
          <c:tx>
            <c:strRef>
              <c:f>工作表1!$H$1</c:f>
              <c:strCache>
                <c:ptCount val="1"/>
                <c:pt idx="0">
                  <c:v>SAR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50000"/>
                  <a:alpha val="50000"/>
                </a:schemeClr>
              </a:solidFill>
              <a:ln w="6350">
                <a:noFill/>
              </a:ln>
              <a:effectLst/>
            </c:spPr>
          </c:marker>
          <c:val>
            <c:numRef>
              <c:f>工作表1!$H$2:$H$248</c:f>
              <c:numCache>
                <c:formatCode>#,##0.00</c:formatCode>
                <c:ptCount val="247"/>
                <c:pt idx="2">
                  <c:v>26043.1</c:v>
                </c:pt>
                <c:pt idx="3">
                  <c:v>26043.1</c:v>
                </c:pt>
                <c:pt idx="4">
                  <c:v>26033.757599999997</c:v>
                </c:pt>
                <c:pt idx="5">
                  <c:v>26024.602047999997</c:v>
                </c:pt>
                <c:pt idx="6">
                  <c:v>26015.629607039999</c:v>
                </c:pt>
                <c:pt idx="7">
                  <c:v>26006.836614899199</c:v>
                </c:pt>
                <c:pt idx="8">
                  <c:v>25998.219482601216</c:v>
                </c:pt>
                <c:pt idx="9">
                  <c:v>25989.774692949191</c:v>
                </c:pt>
                <c:pt idx="10">
                  <c:v>25981.498799090208</c:v>
                </c:pt>
                <c:pt idx="11">
                  <c:v>25973.388423108405</c:v>
                </c:pt>
                <c:pt idx="12">
                  <c:v>25944.521686184067</c:v>
                </c:pt>
                <c:pt idx="13">
                  <c:v>25899.841985013023</c:v>
                </c:pt>
                <c:pt idx="14">
                  <c:v>25857.843065912242</c:v>
                </c:pt>
                <c:pt idx="15">
                  <c:v>25818.364081957508</c:v>
                </c:pt>
                <c:pt idx="16">
                  <c:v>25315.91</c:v>
                </c:pt>
                <c:pt idx="17">
                  <c:v>25328.421200000001</c:v>
                </c:pt>
                <c:pt idx="18">
                  <c:v>25361.176352000002</c:v>
                </c:pt>
                <c:pt idx="19">
                  <c:v>25422.531370880002</c:v>
                </c:pt>
                <c:pt idx="20">
                  <c:v>25502.063261209601</c:v>
                </c:pt>
                <c:pt idx="21">
                  <c:v>25613.722935088641</c:v>
                </c:pt>
                <c:pt idx="22">
                  <c:v>25714.216641579776</c:v>
                </c:pt>
                <c:pt idx="23">
                  <c:v>25830.427444590205</c:v>
                </c:pt>
                <c:pt idx="24">
                  <c:v>25965.352802347577</c:v>
                </c:pt>
                <c:pt idx="25">
                  <c:v>26081.388610018916</c:v>
                </c:pt>
                <c:pt idx="26">
                  <c:v>26209.486432415888</c:v>
                </c:pt>
                <c:pt idx="27">
                  <c:v>26331.924874581029</c:v>
                </c:pt>
                <c:pt idx="28">
                  <c:v>26466.993899664823</c:v>
                </c:pt>
                <c:pt idx="29">
                  <c:v>26621.468241738563</c:v>
                </c:pt>
                <c:pt idx="30">
                  <c:v>26741.958228556079</c:v>
                </c:pt>
                <c:pt idx="31">
                  <c:v>26870.091018273743</c:v>
                </c:pt>
                <c:pt idx="32">
                  <c:v>27021.430994253518</c:v>
                </c:pt>
                <c:pt idx="33">
                  <c:v>27181.133175517745</c:v>
                </c:pt>
                <c:pt idx="34">
                  <c:v>27305.70087690384</c:v>
                </c:pt>
                <c:pt idx="35">
                  <c:v>27399.58</c:v>
                </c:pt>
                <c:pt idx="36">
                  <c:v>27476.089400000001</c:v>
                </c:pt>
                <c:pt idx="37">
                  <c:v>27562.212932000002</c:v>
                </c:pt>
                <c:pt idx="38">
                  <c:v>27876.12</c:v>
                </c:pt>
                <c:pt idx="39">
                  <c:v>27876.12</c:v>
                </c:pt>
                <c:pt idx="40">
                  <c:v>27835.623599999999</c:v>
                </c:pt>
                <c:pt idx="41">
                  <c:v>27796.747056</c:v>
                </c:pt>
                <c:pt idx="42">
                  <c:v>27759.42557376</c:v>
                </c:pt>
                <c:pt idx="43">
                  <c:v>27723.596950809599</c:v>
                </c:pt>
                <c:pt idx="44">
                  <c:v>27689.201472777215</c:v>
                </c:pt>
                <c:pt idx="45">
                  <c:v>27656.181813866126</c:v>
                </c:pt>
                <c:pt idx="46">
                  <c:v>27624.482941311482</c:v>
                </c:pt>
                <c:pt idx="47">
                  <c:v>27086.43</c:v>
                </c:pt>
                <c:pt idx="48">
                  <c:v>27097.546000000002</c:v>
                </c:pt>
                <c:pt idx="49">
                  <c:v>27128.778960000003</c:v>
                </c:pt>
                <c:pt idx="50">
                  <c:v>27185.347622400004</c:v>
                </c:pt>
                <c:pt idx="51">
                  <c:v>27238.522165056005</c:v>
                </c:pt>
                <c:pt idx="52">
                  <c:v>27309.672391851524</c:v>
                </c:pt>
                <c:pt idx="53">
                  <c:v>27375.130600503402</c:v>
                </c:pt>
                <c:pt idx="54">
                  <c:v>27435.352152463129</c:v>
                </c:pt>
                <c:pt idx="55">
                  <c:v>27490.75598026608</c:v>
                </c:pt>
                <c:pt idx="56">
                  <c:v>27884.46</c:v>
                </c:pt>
                <c:pt idx="57">
                  <c:v>27875.206599999998</c:v>
                </c:pt>
                <c:pt idx="58">
                  <c:v>27866.138267999999</c:v>
                </c:pt>
                <c:pt idx="59">
                  <c:v>27492.82</c:v>
                </c:pt>
                <c:pt idx="60">
                  <c:v>27502.503199999999</c:v>
                </c:pt>
                <c:pt idx="61">
                  <c:v>27525.264671999998</c:v>
                </c:pt>
                <c:pt idx="62">
                  <c:v>27547.115685119999</c:v>
                </c:pt>
                <c:pt idx="63">
                  <c:v>27984.27</c:v>
                </c:pt>
                <c:pt idx="64">
                  <c:v>27514.04</c:v>
                </c:pt>
                <c:pt idx="65">
                  <c:v>27514.04</c:v>
                </c:pt>
                <c:pt idx="66">
                  <c:v>27543.403200000001</c:v>
                </c:pt>
                <c:pt idx="67">
                  <c:v>27571.591872000001</c:v>
                </c:pt>
                <c:pt idx="68">
                  <c:v>27598.65299712</c:v>
                </c:pt>
                <c:pt idx="69">
                  <c:v>28184.37</c:v>
                </c:pt>
                <c:pt idx="70">
                  <c:v>28170.207999999999</c:v>
                </c:pt>
                <c:pt idx="71">
                  <c:v>28135.414479999999</c:v>
                </c:pt>
                <c:pt idx="72">
                  <c:v>28102.012700799998</c:v>
                </c:pt>
                <c:pt idx="73">
                  <c:v>28069.946992767997</c:v>
                </c:pt>
                <c:pt idx="74">
                  <c:v>27383.16</c:v>
                </c:pt>
                <c:pt idx="75">
                  <c:v>27383.16</c:v>
                </c:pt>
                <c:pt idx="76">
                  <c:v>27428.704399999999</c:v>
                </c:pt>
                <c:pt idx="77">
                  <c:v>27500.566735999997</c:v>
                </c:pt>
                <c:pt idx="78">
                  <c:v>27568.117331839996</c:v>
                </c:pt>
                <c:pt idx="79">
                  <c:v>27631.614891929596</c:v>
                </c:pt>
                <c:pt idx="80">
                  <c:v>27691.302598413818</c:v>
                </c:pt>
                <c:pt idx="81">
                  <c:v>27747.409042508989</c:v>
                </c:pt>
                <c:pt idx="82">
                  <c:v>27800.149099958449</c:v>
                </c:pt>
                <c:pt idx="83">
                  <c:v>27879.501971961774</c:v>
                </c:pt>
                <c:pt idx="84">
                  <c:v>27952.506614204831</c:v>
                </c:pt>
                <c:pt idx="85">
                  <c:v>28019.670885068444</c:v>
                </c:pt>
                <c:pt idx="86">
                  <c:v>28094.54</c:v>
                </c:pt>
                <c:pt idx="87">
                  <c:v>28094.54</c:v>
                </c:pt>
                <c:pt idx="88">
                  <c:v>28557.8</c:v>
                </c:pt>
                <c:pt idx="89">
                  <c:v>28557.8</c:v>
                </c:pt>
                <c:pt idx="90">
                  <c:v>28548.620599999998</c:v>
                </c:pt>
                <c:pt idx="91">
                  <c:v>28539.624787999997</c:v>
                </c:pt>
                <c:pt idx="92">
                  <c:v>28102.75</c:v>
                </c:pt>
                <c:pt idx="93">
                  <c:v>28113.7114</c:v>
                </c:pt>
                <c:pt idx="94">
                  <c:v>28124.453571999999</c:v>
                </c:pt>
                <c:pt idx="95">
                  <c:v>28134.98090056</c:v>
                </c:pt>
                <c:pt idx="96">
                  <c:v>28145.2976825488</c:v>
                </c:pt>
                <c:pt idx="97">
                  <c:v>28661.29</c:v>
                </c:pt>
                <c:pt idx="98">
                  <c:v>28137.77</c:v>
                </c:pt>
                <c:pt idx="99">
                  <c:v>28137.77</c:v>
                </c:pt>
                <c:pt idx="100">
                  <c:v>28177.196800000002</c:v>
                </c:pt>
                <c:pt idx="101">
                  <c:v>28238.115592000002</c:v>
                </c:pt>
                <c:pt idx="102">
                  <c:v>28318.094344640002</c:v>
                </c:pt>
                <c:pt idx="103">
                  <c:v>28412.134910176002</c:v>
                </c:pt>
                <c:pt idx="104">
                  <c:v>28521.082320954883</c:v>
                </c:pt>
                <c:pt idx="105">
                  <c:v>28616.956042440299</c:v>
                </c:pt>
                <c:pt idx="106">
                  <c:v>28701.324917347461</c:v>
                </c:pt>
                <c:pt idx="107">
                  <c:v>28791.008228918818</c:v>
                </c:pt>
                <c:pt idx="108">
                  <c:v>28868.135876870183</c:v>
                </c:pt>
                <c:pt idx="109">
                  <c:v>29020.125336570953</c:v>
                </c:pt>
                <c:pt idx="110">
                  <c:v>29232.446975988179</c:v>
                </c:pt>
                <c:pt idx="111">
                  <c:v>29406.550720310308</c:v>
                </c:pt>
                <c:pt idx="112">
                  <c:v>29549.315790654451</c:v>
                </c:pt>
                <c:pt idx="113">
                  <c:v>29918.92</c:v>
                </c:pt>
                <c:pt idx="114">
                  <c:v>29907.233399999997</c:v>
                </c:pt>
                <c:pt idx="115">
                  <c:v>29895.780531999997</c:v>
                </c:pt>
                <c:pt idx="116">
                  <c:v>29865.041310719997</c:v>
                </c:pt>
                <c:pt idx="117">
                  <c:v>29814.864432076796</c:v>
                </c:pt>
                <c:pt idx="118">
                  <c:v>29733.930477510654</c:v>
                </c:pt>
                <c:pt idx="119">
                  <c:v>29659.471239309802</c:v>
                </c:pt>
                <c:pt idx="120">
                  <c:v>29513.977115378821</c:v>
                </c:pt>
                <c:pt idx="121">
                  <c:v>29348.491461533362</c:v>
                </c:pt>
                <c:pt idx="122">
                  <c:v>29202.864086149359</c:v>
                </c:pt>
                <c:pt idx="123">
                  <c:v>29074.711995811434</c:v>
                </c:pt>
                <c:pt idx="124">
                  <c:v>28645.41</c:v>
                </c:pt>
                <c:pt idx="125">
                  <c:v>28658.035199999998</c:v>
                </c:pt>
                <c:pt idx="126">
                  <c:v>28686.414192</c:v>
                </c:pt>
                <c:pt idx="127">
                  <c:v>28713.658024320001</c:v>
                </c:pt>
                <c:pt idx="128">
                  <c:v>28738.84</c:v>
                </c:pt>
                <c:pt idx="129">
                  <c:v>28763.986799999999</c:v>
                </c:pt>
                <c:pt idx="130">
                  <c:v>28788.127727999999</c:v>
                </c:pt>
                <c:pt idx="131">
                  <c:v>28826.748664319999</c:v>
                </c:pt>
                <c:pt idx="132">
                  <c:v>28886.8495711744</c:v>
                </c:pt>
                <c:pt idx="133">
                  <c:v>28967.546614056959</c:v>
                </c:pt>
                <c:pt idx="134">
                  <c:v>29076.213020370124</c:v>
                </c:pt>
                <c:pt idx="135">
                  <c:v>29205.257597518306</c:v>
                </c:pt>
                <c:pt idx="136">
                  <c:v>29414.865981915376</c:v>
                </c:pt>
                <c:pt idx="137">
                  <c:v>29650.567705170608</c:v>
                </c:pt>
                <c:pt idx="138">
                  <c:v>29879.840164136487</c:v>
                </c:pt>
                <c:pt idx="139">
                  <c:v>30106.69752802646</c:v>
                </c:pt>
                <c:pt idx="140">
                  <c:v>30287.637071860638</c:v>
                </c:pt>
                <c:pt idx="141">
                  <c:v>30456.830916051298</c:v>
                </c:pt>
                <c:pt idx="142">
                  <c:v>30635.193514520011</c:v>
                </c:pt>
                <c:pt idx="143">
                  <c:v>30774.316341325608</c:v>
                </c:pt>
                <c:pt idx="144">
                  <c:v>30914.725546233974</c:v>
                </c:pt>
                <c:pt idx="145">
                  <c:v>31094.7855260625</c:v>
                </c:pt>
                <c:pt idx="146">
                  <c:v>31265.25</c:v>
                </c:pt>
                <c:pt idx="147">
                  <c:v>31423.245200000001</c:v>
                </c:pt>
                <c:pt idx="148">
                  <c:v>31601.569456000001</c:v>
                </c:pt>
                <c:pt idx="149">
                  <c:v>31745.299975680002</c:v>
                </c:pt>
                <c:pt idx="150">
                  <c:v>31893.124581030403</c:v>
                </c:pt>
                <c:pt idx="151">
                  <c:v>32046.84</c:v>
                </c:pt>
                <c:pt idx="152">
                  <c:v>32260.651399999999</c:v>
                </c:pt>
                <c:pt idx="153">
                  <c:v>32427.424292</c:v>
                </c:pt>
                <c:pt idx="154">
                  <c:v>32602.57854776</c:v>
                </c:pt>
                <c:pt idx="155">
                  <c:v>33484.080000000002</c:v>
                </c:pt>
                <c:pt idx="156">
                  <c:v>33484.080000000002</c:v>
                </c:pt>
                <c:pt idx="157">
                  <c:v>33437.932400000005</c:v>
                </c:pt>
                <c:pt idx="158">
                  <c:v>33393.630704000003</c:v>
                </c:pt>
                <c:pt idx="159">
                  <c:v>33329.298061760004</c:v>
                </c:pt>
                <c:pt idx="160">
                  <c:v>33199.915816819201</c:v>
                </c:pt>
                <c:pt idx="161">
                  <c:v>32937.707235137277</c:v>
                </c:pt>
                <c:pt idx="162">
                  <c:v>32620.240366920803</c:v>
                </c:pt>
                <c:pt idx="163">
                  <c:v>32288.591515551892</c:v>
                </c:pt>
                <c:pt idx="164">
                  <c:v>31783.09847306359</c:v>
                </c:pt>
                <c:pt idx="165">
                  <c:v>31358.484317373415</c:v>
                </c:pt>
                <c:pt idx="166">
                  <c:v>31001.808426593667</c:v>
                </c:pt>
                <c:pt idx="167">
                  <c:v>29783.1</c:v>
                </c:pt>
                <c:pt idx="168">
                  <c:v>29810.34</c:v>
                </c:pt>
                <c:pt idx="169">
                  <c:v>29871.513999999999</c:v>
                </c:pt>
                <c:pt idx="170">
                  <c:v>29967.89416</c:v>
                </c:pt>
                <c:pt idx="171">
                  <c:v>30058.491510399999</c:v>
                </c:pt>
                <c:pt idx="172">
                  <c:v>30143.653019776</c:v>
                </c:pt>
                <c:pt idx="173">
                  <c:v>30257.557578193919</c:v>
                </c:pt>
                <c:pt idx="174">
                  <c:v>30411.699820374528</c:v>
                </c:pt>
                <c:pt idx="175">
                  <c:v>31798.98</c:v>
                </c:pt>
                <c:pt idx="176">
                  <c:v>31772.076799999999</c:v>
                </c:pt>
                <c:pt idx="177">
                  <c:v>31745.711663999999</c:v>
                </c:pt>
                <c:pt idx="178">
                  <c:v>31669.979997439998</c:v>
                </c:pt>
                <c:pt idx="179">
                  <c:v>31597.277597542397</c:v>
                </c:pt>
                <c:pt idx="180">
                  <c:v>31527.4832936407</c:v>
                </c:pt>
                <c:pt idx="181">
                  <c:v>31460.480761895073</c:v>
                </c:pt>
                <c:pt idx="182">
                  <c:v>30428.61</c:v>
                </c:pt>
                <c:pt idx="183">
                  <c:v>30452.189399999999</c:v>
                </c:pt>
                <c:pt idx="184">
                  <c:v>30502.501423999998</c:v>
                </c:pt>
                <c:pt idx="185">
                  <c:v>30550.800967039999</c:v>
                </c:pt>
                <c:pt idx="186">
                  <c:v>30597.168528358397</c:v>
                </c:pt>
                <c:pt idx="187">
                  <c:v>30641.68138722406</c:v>
                </c:pt>
                <c:pt idx="188">
                  <c:v>30684.413731735098</c:v>
                </c:pt>
                <c:pt idx="189">
                  <c:v>30725.436782465695</c:v>
                </c:pt>
                <c:pt idx="190">
                  <c:v>30800.598975517754</c:v>
                </c:pt>
                <c:pt idx="191">
                  <c:v>31978.14</c:v>
                </c:pt>
                <c:pt idx="192">
                  <c:v>31937.181799999998</c:v>
                </c:pt>
                <c:pt idx="193">
                  <c:v>31897.042763999998</c:v>
                </c:pt>
                <c:pt idx="194">
                  <c:v>31857.706508719999</c:v>
                </c:pt>
                <c:pt idx="195">
                  <c:v>31819.156978545598</c:v>
                </c:pt>
                <c:pt idx="196">
                  <c:v>31739.175899403774</c:v>
                </c:pt>
                <c:pt idx="197">
                  <c:v>31620.146945439548</c:v>
                </c:pt>
                <c:pt idx="198">
                  <c:v>31452.030389804386</c:v>
                </c:pt>
                <c:pt idx="199">
                  <c:v>31297.363158620035</c:v>
                </c:pt>
                <c:pt idx="200">
                  <c:v>31155.069305930432</c:v>
                </c:pt>
                <c:pt idx="201">
                  <c:v>31024.158961455996</c:v>
                </c:pt>
                <c:pt idx="202">
                  <c:v>30163.09</c:v>
                </c:pt>
                <c:pt idx="203">
                  <c:v>30181.7104</c:v>
                </c:pt>
                <c:pt idx="204">
                  <c:v>31094.11</c:v>
                </c:pt>
                <c:pt idx="205">
                  <c:v>31076.76</c:v>
                </c:pt>
                <c:pt idx="206">
                  <c:v>31034.1976</c:v>
                </c:pt>
                <c:pt idx="207">
                  <c:v>30970.909744000001</c:v>
                </c:pt>
                <c:pt idx="208">
                  <c:v>30911.419159360001</c:v>
                </c:pt>
                <c:pt idx="209">
                  <c:v>30855.498009798401</c:v>
                </c:pt>
                <c:pt idx="210">
                  <c:v>30848.47</c:v>
                </c:pt>
                <c:pt idx="211">
                  <c:v>30796.325800000002</c:v>
                </c:pt>
                <c:pt idx="212">
                  <c:v>30747.310252000003</c:v>
                </c:pt>
                <c:pt idx="213">
                  <c:v>30677.221431840004</c:v>
                </c:pt>
                <c:pt idx="214">
                  <c:v>29871.200000000001</c:v>
                </c:pt>
                <c:pt idx="215">
                  <c:v>29890.838599999999</c:v>
                </c:pt>
                <c:pt idx="216">
                  <c:v>29910.084427999998</c:v>
                </c:pt>
                <c:pt idx="217">
                  <c:v>30824.77</c:v>
                </c:pt>
                <c:pt idx="218">
                  <c:v>30805.460600000002</c:v>
                </c:pt>
                <c:pt idx="219">
                  <c:v>30764.916976</c:v>
                </c:pt>
                <c:pt idx="220">
                  <c:v>30725.99509696</c:v>
                </c:pt>
                <c:pt idx="221">
                  <c:v>30123.77</c:v>
                </c:pt>
                <c:pt idx="222">
                  <c:v>30138.320599999999</c:v>
                </c:pt>
                <c:pt idx="223">
                  <c:v>30183.883375999998</c:v>
                </c:pt>
                <c:pt idx="224">
                  <c:v>30268.403973439999</c:v>
                </c:pt>
                <c:pt idx="225">
                  <c:v>30347.8533350336</c:v>
                </c:pt>
                <c:pt idx="226">
                  <c:v>30422.535734931585</c:v>
                </c:pt>
                <c:pt idx="227">
                  <c:v>30492.737190835691</c:v>
                </c:pt>
                <c:pt idx="228">
                  <c:v>30558.726559385548</c:v>
                </c:pt>
                <c:pt idx="229">
                  <c:v>30620.756565822416</c:v>
                </c:pt>
                <c:pt idx="230">
                  <c:v>31464.1</c:v>
                </c:pt>
                <c:pt idx="231">
                  <c:v>31446.605599999999</c:v>
                </c:pt>
                <c:pt idx="232">
                  <c:v>31409.770976</c:v>
                </c:pt>
                <c:pt idx="233">
                  <c:v>31374.409736959999</c:v>
                </c:pt>
                <c:pt idx="234">
                  <c:v>31319.195952742397</c:v>
                </c:pt>
                <c:pt idx="235">
                  <c:v>31210.807476523005</c:v>
                </c:pt>
                <c:pt idx="236">
                  <c:v>31111.090078401165</c:v>
                </c:pt>
                <c:pt idx="237">
                  <c:v>31019.350072129073</c:v>
                </c:pt>
                <c:pt idx="238">
                  <c:v>30363.49</c:v>
                </c:pt>
                <c:pt idx="239">
                  <c:v>30379.998800000001</c:v>
                </c:pt>
                <c:pt idx="240">
                  <c:v>30418.095648000002</c:v>
                </c:pt>
                <c:pt idx="241">
                  <c:v>30484.277709120001</c:v>
                </c:pt>
                <c:pt idx="242">
                  <c:v>30546.4888465728</c:v>
                </c:pt>
                <c:pt idx="243">
                  <c:v>30604.967315778431</c:v>
                </c:pt>
                <c:pt idx="244">
                  <c:v>30659.937076831724</c:v>
                </c:pt>
                <c:pt idx="245">
                  <c:v>31242.86</c:v>
                </c:pt>
                <c:pt idx="246">
                  <c:v>31225.002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6C-4A80-B7D7-A562D97AF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8183616"/>
        <c:axId val="1028189848"/>
      </c:lineChart>
      <c:catAx>
        <c:axId val="10281836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en-US"/>
          </a:p>
        </c:txPr>
        <c:crossAx val="1028189848"/>
        <c:crosses val="autoZero"/>
        <c:auto val="0"/>
        <c:lblAlgn val="ctr"/>
        <c:lblOffset val="0"/>
        <c:tickLblSkip val="15"/>
        <c:tickMarkSkip val="1"/>
        <c:noMultiLvlLbl val="0"/>
      </c:catAx>
      <c:valAx>
        <c:axId val="1028189848"/>
        <c:scaling>
          <c:orientation val="minMax"/>
          <c:min val="24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en-US"/>
          </a:p>
        </c:txPr>
        <c:crossAx val="102818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395416</xdr:colOff>
      <xdr:row>250</xdr:row>
      <xdr:rowOff>813</xdr:rowOff>
    </xdr:from>
    <xdr:to>
      <xdr:col>7</xdr:col>
      <xdr:colOff>684985</xdr:colOff>
      <xdr:row>269</xdr:row>
      <xdr:rowOff>153215</xdr:rowOff>
    </xdr:to>
    <xdr:graphicFrame macro="">
      <xdr:nvGraphicFramePr>
        <xdr:cNvPr id="4" name="圖表 1">
          <a:extLst>
            <a:ext uri="{FF2B5EF4-FFF2-40B4-BE49-F238E27FC236}">
              <a16:creationId xmlns:a16="http://schemas.microsoft.com/office/drawing/2014/main" id="{4A7C7D9D-5BBD-46A8-B894-9CDC0AF993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9ACA42-628E-4F38-94FD-B23057457712}" name="表格1" displayName="表格1" ref="A1:K249" totalsRowCount="1">
  <autoFilter ref="A1:K248" xr:uid="{329275BB-50CF-42DD-8548-A3219EB4F6DF}"/>
  <sortState ref="A2:G248">
    <sortCondition ref="A1:A248"/>
  </sortState>
  <tableColumns count="11">
    <tableColumn id="1" xr3:uid="{83AF0BE3-3EE5-4F3F-99D3-F31B333C1B3B}" name="日期" totalsRowLabel="合計" dataDxfId="21" totalsRowDxfId="20"/>
    <tableColumn id="2" xr3:uid="{21FB765D-4855-4FD4-A75F-A9FEB9EB1994}" name="開市" dataDxfId="19" totalsRowDxfId="18"/>
    <tableColumn id="3" xr3:uid="{B7666DFA-FE45-4F69-8F95-C8511BC69767}" name="最高" dataDxfId="17" totalsRowDxfId="16"/>
    <tableColumn id="4" xr3:uid="{B8CB1A55-4B28-44C2-9398-D9A5948DFE37}" name="最低" dataDxfId="15" totalsRowDxfId="14"/>
    <tableColumn id="5" xr3:uid="{66D87D70-9FA1-453A-AED7-7635DC3FE983}" name="收市" dataDxfId="13" totalsRowDxfId="12"/>
    <tableColumn id="6" xr3:uid="{2DF0AA31-B483-4911-BAC0-128B2087A8F0}" name="經調整收市價" dataDxfId="11" totalsRowDxfId="10"/>
    <tableColumn id="7" xr3:uid="{E643A580-0A5A-423A-8CDE-8FABB78E7357}" name="成交量" dataDxfId="9" totalsRowDxfId="8"/>
    <tableColumn id="11" xr3:uid="{7B2E1309-DF11-458F-807D-C187B7C89F46}" name="SAR" dataDxfId="7" totalsRowDxfId="6"/>
    <tableColumn id="8" xr3:uid="{B949A02B-B91E-4EB3-BFEA-D9F47940CA1F}" name="B/H/S" dataDxfId="5" totalsRowDxfId="4"/>
    <tableColumn id="9" xr3:uid="{026A4ACF-D45A-4769-887A-293BC458F0F8}" name="買入/賣出價格" totalsRowFunction="custom" dataDxfId="3" totalsRowDxfId="2">
      <calculatedColumnFormula>IF(表格1[[#This Row],[B/H/S]]="B", -表格1[[#This Row],[最高]], IF(表格1[[#This Row],[B/H/S]]="S",表格1[[#This Row],[最低]],""))</calculatedColumnFormula>
      <totalsRowFormula>SUBTOTAL(109,表格1[買入/賣出價格])-表格1[[#Totals],[ABS(買入/賣出價格)]]*0.005</totalsRowFormula>
    </tableColumn>
    <tableColumn id="10" xr3:uid="{B4CB446E-AA8C-4EDA-AA62-2F86D9B5B3C5}" name="ABS(買入/賣出價格)" totalsRowFunction="sum" dataDxfId="1" totalsRowDxfId="0">
      <calculatedColumnFormula>IF(表格1[[#This Row],[買入/賣出價格]]&lt;&gt;"",ABS(表格1[[#This Row],[買入/賣出價格]]),"")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Microsoft JhengHei UI">
      <a:majorFont>
        <a:latin typeface="Microsoft JhengHei UI"/>
        <a:ea typeface="微軟正黑體"/>
        <a:cs typeface=""/>
      </a:majorFont>
      <a:minorFont>
        <a:latin typeface="Microsoft JhengHei UI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E438-23CB-4BAC-820D-7211FB71D55C}">
  <sheetPr codeName="工作表1"/>
  <dimension ref="A1:K249"/>
  <sheetViews>
    <sheetView tabSelected="1" zoomScaleNormal="100" workbookViewId="0"/>
  </sheetViews>
  <sheetFormatPr defaultRowHeight="13.15" x14ac:dyDescent="0.4"/>
  <cols>
    <col min="1" max="1" width="13.8125" bestFit="1" customWidth="1"/>
    <col min="6" max="6" width="12.5625" customWidth="1"/>
    <col min="7" max="7" width="11.8125" bestFit="1" customWidth="1"/>
    <col min="10" max="10" width="13.625" bestFit="1" customWidth="1"/>
    <col min="11" max="11" width="18.0625" bestFit="1" customWidth="1"/>
  </cols>
  <sheetData>
    <row r="1" spans="1:11" x14ac:dyDescent="0.4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4</v>
      </c>
      <c r="H1" t="s">
        <v>7</v>
      </c>
      <c r="I1" t="s">
        <v>8</v>
      </c>
      <c r="J1" t="s">
        <v>12</v>
      </c>
      <c r="K1" t="s">
        <v>14</v>
      </c>
    </row>
    <row r="2" spans="1:11" x14ac:dyDescent="0.4">
      <c r="A2" s="3">
        <v>42905</v>
      </c>
      <c r="B2" s="1">
        <v>25736.2</v>
      </c>
      <c r="C2" s="1">
        <v>25939.72</v>
      </c>
      <c r="D2" s="1">
        <v>25735.07</v>
      </c>
      <c r="E2" s="1">
        <v>25924.55</v>
      </c>
      <c r="F2" s="1">
        <v>25924.55</v>
      </c>
      <c r="G2" s="2">
        <v>1116125500</v>
      </c>
      <c r="H2" s="1"/>
      <c r="I2" s="1"/>
      <c r="J2" s="1" t="str">
        <f>IF(表格1[[#This Row],[B/H/S]]="B", -表格1[[#This Row],[最高]], IF(表格1[[#This Row],[B/H/S]]="S",表格1[[#This Row],[最低]],""))</f>
        <v/>
      </c>
      <c r="K2" s="1" t="str">
        <f>IF(表格1[[#This Row],[買入/賣出價格]]&lt;&gt;"",ABS(表格1[[#This Row],[買入/賣出價格]]),"")</f>
        <v/>
      </c>
    </row>
    <row r="3" spans="1:11" x14ac:dyDescent="0.4">
      <c r="A3" s="3">
        <v>42906</v>
      </c>
      <c r="B3" s="1">
        <v>26028.43</v>
      </c>
      <c r="C3" s="1">
        <v>26043.1</v>
      </c>
      <c r="D3" s="1">
        <v>25833.93</v>
      </c>
      <c r="E3" s="1">
        <v>25843.040000000001</v>
      </c>
      <c r="F3" s="1">
        <v>25843.040000000001</v>
      </c>
      <c r="G3" s="2">
        <v>1251563600</v>
      </c>
      <c r="H3" s="1"/>
      <c r="I3" s="1"/>
      <c r="J3" s="1" t="str">
        <f>IF(表格1[[#This Row],[B/H/S]]="B", -表格1[[#This Row],[最高]], IF(表格1[[#This Row],[B/H/S]]="S",表格1[[#This Row],[最低]],""))</f>
        <v/>
      </c>
      <c r="K3" s="1" t="str">
        <f>IF(表格1[[#This Row],[買入/賣出價格]]&lt;&gt;"",ABS(表格1[[#This Row],[買入/賣出價格]]),"")</f>
        <v/>
      </c>
    </row>
    <row r="4" spans="1:11" x14ac:dyDescent="0.4">
      <c r="A4" s="3">
        <v>42907</v>
      </c>
      <c r="B4" s="1">
        <v>25752.27</v>
      </c>
      <c r="C4" s="1">
        <v>25846.52</v>
      </c>
      <c r="D4" s="1">
        <v>25575.98</v>
      </c>
      <c r="E4" s="1">
        <v>25694.58</v>
      </c>
      <c r="F4" s="1">
        <v>25694.58</v>
      </c>
      <c r="G4" s="2">
        <v>1699891000</v>
      </c>
      <c r="H4" s="1">
        <v>26043.1</v>
      </c>
      <c r="I4" s="1" t="s">
        <v>9</v>
      </c>
      <c r="J4" s="1" t="str">
        <f>IF(表格1[[#This Row],[B/H/S]]="B", -表格1[[#This Row],[最高]], IF(表格1[[#This Row],[B/H/S]]="S",表格1[[#This Row],[最低]],""))</f>
        <v/>
      </c>
      <c r="K4" s="1" t="str">
        <f>IF(表格1[[#This Row],[買入/賣出價格]]&lt;&gt;"",ABS(表格1[[#This Row],[買入/賣出價格]]),"")</f>
        <v/>
      </c>
    </row>
    <row r="5" spans="1:11" x14ac:dyDescent="0.4">
      <c r="A5" s="3">
        <v>42908</v>
      </c>
      <c r="B5" s="1">
        <v>25597.46</v>
      </c>
      <c r="C5" s="1">
        <v>25867.94</v>
      </c>
      <c r="D5" s="1">
        <v>25597.46</v>
      </c>
      <c r="E5" s="1">
        <v>25674.53</v>
      </c>
      <c r="F5" s="1">
        <v>25674.53</v>
      </c>
      <c r="G5" s="2">
        <v>1553964400</v>
      </c>
      <c r="H5" s="1">
        <v>26043.1</v>
      </c>
      <c r="I5" s="1" t="s">
        <v>9</v>
      </c>
      <c r="J5" s="1" t="str">
        <f>IF(表格1[[#This Row],[B/H/S]]="B", -表格1[[#This Row],[最高]], IF(表格1[[#This Row],[B/H/S]]="S",表格1[[#This Row],[最低]],""))</f>
        <v/>
      </c>
      <c r="K5" s="1" t="str">
        <f>IF(表格1[[#This Row],[買入/賣出價格]]&lt;&gt;"",ABS(表格1[[#This Row],[買入/賣出價格]]),"")</f>
        <v/>
      </c>
    </row>
    <row r="6" spans="1:11" x14ac:dyDescent="0.4">
      <c r="A6" s="3">
        <v>42909</v>
      </c>
      <c r="B6" s="1">
        <v>25724.28</v>
      </c>
      <c r="C6" s="1">
        <v>25770.37</v>
      </c>
      <c r="D6" s="1">
        <v>25648.77</v>
      </c>
      <c r="E6" s="1">
        <v>25670.05</v>
      </c>
      <c r="F6" s="1">
        <v>25670.05</v>
      </c>
      <c r="G6" s="2">
        <v>1302570300</v>
      </c>
      <c r="H6" s="1">
        <v>26033.757599999997</v>
      </c>
      <c r="I6" s="1" t="s">
        <v>9</v>
      </c>
      <c r="J6" s="1" t="str">
        <f>IF(表格1[[#This Row],[B/H/S]]="B", -表格1[[#This Row],[最高]], IF(表格1[[#This Row],[B/H/S]]="S",表格1[[#This Row],[最低]],""))</f>
        <v/>
      </c>
      <c r="K6" s="1" t="str">
        <f>IF(表格1[[#This Row],[買入/賣出價格]]&lt;&gt;"",ABS(表格1[[#This Row],[買入/賣出價格]]),"")</f>
        <v/>
      </c>
    </row>
    <row r="7" spans="1:11" x14ac:dyDescent="0.4">
      <c r="A7" s="3">
        <v>42912</v>
      </c>
      <c r="B7" s="1">
        <v>25727.93</v>
      </c>
      <c r="C7" s="1">
        <v>25875.48</v>
      </c>
      <c r="D7" s="1">
        <v>25720.38</v>
      </c>
      <c r="E7" s="1">
        <v>25871.89</v>
      </c>
      <c r="F7" s="1">
        <v>25871.89</v>
      </c>
      <c r="G7" s="2">
        <v>1206191500</v>
      </c>
      <c r="H7" s="1">
        <v>26024.602047999997</v>
      </c>
      <c r="I7" s="1" t="s">
        <v>9</v>
      </c>
      <c r="J7" s="1" t="str">
        <f>IF(表格1[[#This Row],[B/H/S]]="B", -表格1[[#This Row],[最高]], IF(表格1[[#This Row],[B/H/S]]="S",表格1[[#This Row],[最低]],""))</f>
        <v/>
      </c>
      <c r="K7" s="1" t="str">
        <f>IF(表格1[[#This Row],[買入/賣出價格]]&lt;&gt;"",ABS(表格1[[#This Row],[買入/賣出價格]]),"")</f>
        <v/>
      </c>
    </row>
    <row r="8" spans="1:11" x14ac:dyDescent="0.4">
      <c r="A8" s="3">
        <v>42913</v>
      </c>
      <c r="B8" s="1">
        <v>25911.200000000001</v>
      </c>
      <c r="C8" s="1">
        <v>25929.61</v>
      </c>
      <c r="D8" s="1">
        <v>25780.69</v>
      </c>
      <c r="E8" s="1">
        <v>25839.99</v>
      </c>
      <c r="F8" s="1">
        <v>25839.99</v>
      </c>
      <c r="G8" s="2">
        <v>1182985800</v>
      </c>
      <c r="H8" s="1">
        <v>26015.629607039999</v>
      </c>
      <c r="I8" s="1" t="s">
        <v>9</v>
      </c>
      <c r="J8" s="1" t="str">
        <f>IF(表格1[[#This Row],[B/H/S]]="B", -表格1[[#This Row],[最高]], IF(表格1[[#This Row],[B/H/S]]="S",表格1[[#This Row],[最低]],""))</f>
        <v/>
      </c>
      <c r="K8" s="1" t="str">
        <f>IF(表格1[[#This Row],[買入/賣出價格]]&lt;&gt;"",ABS(表格1[[#This Row],[買入/賣出價格]]),"")</f>
        <v/>
      </c>
    </row>
    <row r="9" spans="1:11" x14ac:dyDescent="0.4">
      <c r="A9" s="3">
        <v>42914</v>
      </c>
      <c r="B9" s="1">
        <v>25735.21</v>
      </c>
      <c r="C9" s="1">
        <v>25821.360000000001</v>
      </c>
      <c r="D9" s="1">
        <v>25625.71</v>
      </c>
      <c r="E9" s="1">
        <v>25683.5</v>
      </c>
      <c r="F9" s="1">
        <v>25683.5</v>
      </c>
      <c r="G9" s="2">
        <v>1652872300</v>
      </c>
      <c r="H9" s="1">
        <v>26006.836614899199</v>
      </c>
      <c r="I9" s="1" t="s">
        <v>9</v>
      </c>
      <c r="J9" s="1" t="str">
        <f>IF(表格1[[#This Row],[B/H/S]]="B", -表格1[[#This Row],[最高]], IF(表格1[[#This Row],[B/H/S]]="S",表格1[[#This Row],[最低]],""))</f>
        <v/>
      </c>
      <c r="K9" s="1" t="str">
        <f>IF(表格1[[#This Row],[買入/賣出價格]]&lt;&gt;"",ABS(表格1[[#This Row],[買入/賣出價格]]),"")</f>
        <v/>
      </c>
    </row>
    <row r="10" spans="1:11" x14ac:dyDescent="0.4">
      <c r="A10" s="3">
        <v>42915</v>
      </c>
      <c r="B10" s="1">
        <v>25872.93</v>
      </c>
      <c r="C10" s="1">
        <v>25965.42</v>
      </c>
      <c r="D10" s="1">
        <v>25814.799999999999</v>
      </c>
      <c r="E10" s="1">
        <v>25965.42</v>
      </c>
      <c r="F10" s="1">
        <v>25965.42</v>
      </c>
      <c r="G10" s="2">
        <v>1748405000</v>
      </c>
      <c r="H10" s="1">
        <v>25998.219482601216</v>
      </c>
      <c r="I10" s="1" t="s">
        <v>9</v>
      </c>
      <c r="J10" s="1" t="str">
        <f>IF(表格1[[#This Row],[B/H/S]]="B", -表格1[[#This Row],[最高]], IF(表格1[[#This Row],[B/H/S]]="S",表格1[[#This Row],[最低]],""))</f>
        <v/>
      </c>
      <c r="K10" s="1" t="str">
        <f>IF(表格1[[#This Row],[買入/賣出價格]]&lt;&gt;"",ABS(表格1[[#This Row],[買入/賣出價格]]),"")</f>
        <v/>
      </c>
    </row>
    <row r="11" spans="1:11" x14ac:dyDescent="0.4">
      <c r="A11" s="3">
        <v>42916</v>
      </c>
      <c r="B11" s="1">
        <v>25679.64</v>
      </c>
      <c r="C11" s="1">
        <v>25816.25</v>
      </c>
      <c r="D11" s="1">
        <v>25661.43</v>
      </c>
      <c r="E11" s="1">
        <v>25764.58</v>
      </c>
      <c r="F11" s="1">
        <v>25764.58</v>
      </c>
      <c r="G11" s="2">
        <v>1616948900</v>
      </c>
      <c r="H11" s="1">
        <v>25989.774692949191</v>
      </c>
      <c r="I11" s="1" t="s">
        <v>9</v>
      </c>
      <c r="J11" s="1" t="str">
        <f>IF(表格1[[#This Row],[B/H/S]]="B", -表格1[[#This Row],[最高]], IF(表格1[[#This Row],[B/H/S]]="S",表格1[[#This Row],[最低]],""))</f>
        <v/>
      </c>
      <c r="K11" s="1" t="str">
        <f>IF(表格1[[#This Row],[買入/賣出價格]]&lt;&gt;"",ABS(表格1[[#This Row],[買入/賣出價格]]),"")</f>
        <v/>
      </c>
    </row>
    <row r="12" spans="1:11" x14ac:dyDescent="0.4">
      <c r="A12" s="3">
        <v>42919</v>
      </c>
      <c r="B12" s="1">
        <v>25654.77</v>
      </c>
      <c r="C12" s="1">
        <v>25821.39</v>
      </c>
      <c r="D12" s="1">
        <v>25654.77</v>
      </c>
      <c r="E12" s="1">
        <v>25784.17</v>
      </c>
      <c r="F12" s="1">
        <v>25784.17</v>
      </c>
      <c r="G12" s="2">
        <v>1505017700</v>
      </c>
      <c r="H12" s="1">
        <v>25981.498799090208</v>
      </c>
      <c r="I12" s="1" t="s">
        <v>9</v>
      </c>
      <c r="J12" s="1" t="str">
        <f>IF(表格1[[#This Row],[B/H/S]]="B", -表格1[[#This Row],[最高]], IF(表格1[[#This Row],[B/H/S]]="S",表格1[[#This Row],[最低]],""))</f>
        <v/>
      </c>
      <c r="K12" s="1" t="str">
        <f>IF(表格1[[#This Row],[買入/賣出價格]]&lt;&gt;"",ABS(表格1[[#This Row],[買入/賣出價格]]),"")</f>
        <v/>
      </c>
    </row>
    <row r="13" spans="1:11" x14ac:dyDescent="0.4">
      <c r="A13" s="3">
        <v>42920</v>
      </c>
      <c r="B13" s="1">
        <v>25782.85</v>
      </c>
      <c r="C13" s="1">
        <v>25838.27</v>
      </c>
      <c r="D13" s="1">
        <v>25251.72</v>
      </c>
      <c r="E13" s="1">
        <v>25389.01</v>
      </c>
      <c r="F13" s="1">
        <v>25389.01</v>
      </c>
      <c r="G13" s="2">
        <v>2402054600</v>
      </c>
      <c r="H13" s="1">
        <v>25973.388423108405</v>
      </c>
      <c r="I13" s="1" t="s">
        <v>9</v>
      </c>
      <c r="J13" s="1" t="str">
        <f>IF(表格1[[#This Row],[B/H/S]]="B", -表格1[[#This Row],[最高]], IF(表格1[[#This Row],[B/H/S]]="S",表格1[[#This Row],[最低]],""))</f>
        <v/>
      </c>
      <c r="K13" s="1" t="str">
        <f>IF(表格1[[#This Row],[買入/賣出價格]]&lt;&gt;"",ABS(表格1[[#This Row],[買入/賣出價格]]),"")</f>
        <v/>
      </c>
    </row>
    <row r="14" spans="1:11" x14ac:dyDescent="0.4">
      <c r="A14" s="3">
        <v>42921</v>
      </c>
      <c r="B14" s="1">
        <v>25354.38</v>
      </c>
      <c r="C14" s="1">
        <v>25559.18</v>
      </c>
      <c r="D14" s="1">
        <v>25199.86</v>
      </c>
      <c r="E14" s="1">
        <v>25521.97</v>
      </c>
      <c r="F14" s="1">
        <v>25521.97</v>
      </c>
      <c r="G14" s="2">
        <v>1868195300</v>
      </c>
      <c r="H14" s="1">
        <v>25944.521686184067</v>
      </c>
      <c r="I14" s="1" t="s">
        <v>9</v>
      </c>
      <c r="J14" s="1" t="str">
        <f>IF(表格1[[#This Row],[B/H/S]]="B", -表格1[[#This Row],[最高]], IF(表格1[[#This Row],[B/H/S]]="S",表格1[[#This Row],[最低]],""))</f>
        <v/>
      </c>
      <c r="K14" s="1" t="str">
        <f>IF(表格1[[#This Row],[買入/賣出價格]]&lt;&gt;"",ABS(表格1[[#This Row],[買入/賣出價格]]),"")</f>
        <v/>
      </c>
    </row>
    <row r="15" spans="1:11" x14ac:dyDescent="0.4">
      <c r="A15" s="3">
        <v>42922</v>
      </c>
      <c r="B15" s="1">
        <v>25574.57</v>
      </c>
      <c r="C15" s="1">
        <v>25599.7</v>
      </c>
      <c r="D15" s="1">
        <v>25436.83</v>
      </c>
      <c r="E15" s="1">
        <v>25465.22</v>
      </c>
      <c r="F15" s="1">
        <v>25465.22</v>
      </c>
      <c r="G15" s="2">
        <v>1494486100</v>
      </c>
      <c r="H15" s="1">
        <v>25899.841985013023</v>
      </c>
      <c r="I15" s="1" t="s">
        <v>9</v>
      </c>
      <c r="J15" s="1" t="str">
        <f>IF(表格1[[#This Row],[B/H/S]]="B", -表格1[[#This Row],[最高]], IF(表格1[[#This Row],[B/H/S]]="S",表格1[[#This Row],[最低]],""))</f>
        <v/>
      </c>
      <c r="K15" s="1" t="str">
        <f>IF(表格1[[#This Row],[買入/賣出價格]]&lt;&gt;"",ABS(表格1[[#This Row],[買入/賣出價格]]),"")</f>
        <v/>
      </c>
    </row>
    <row r="16" spans="1:11" x14ac:dyDescent="0.4">
      <c r="A16" s="3">
        <v>42923</v>
      </c>
      <c r="B16" s="1">
        <v>25377.21</v>
      </c>
      <c r="C16" s="1">
        <v>25409.9</v>
      </c>
      <c r="D16" s="1">
        <v>25315.91</v>
      </c>
      <c r="E16" s="1">
        <v>25340.85</v>
      </c>
      <c r="F16" s="1">
        <v>25340.85</v>
      </c>
      <c r="G16" s="2">
        <v>1480481500</v>
      </c>
      <c r="H16" s="1">
        <v>25857.843065912242</v>
      </c>
      <c r="I16" s="1" t="s">
        <v>9</v>
      </c>
      <c r="J16" s="1" t="str">
        <f>IF(表格1[[#This Row],[B/H/S]]="B", -表格1[[#This Row],[最高]], IF(表格1[[#This Row],[B/H/S]]="S",表格1[[#This Row],[最低]],""))</f>
        <v/>
      </c>
      <c r="K16" s="1" t="str">
        <f>IF(表格1[[#This Row],[買入/賣出價格]]&lt;&gt;"",ABS(表格1[[#This Row],[買入/賣出價格]]),"")</f>
        <v/>
      </c>
    </row>
    <row r="17" spans="1:11" x14ac:dyDescent="0.4">
      <c r="A17" s="3">
        <v>42926</v>
      </c>
      <c r="B17" s="1">
        <v>25392.03</v>
      </c>
      <c r="C17" s="1">
        <v>25622.75</v>
      </c>
      <c r="D17" s="1">
        <v>25331.95</v>
      </c>
      <c r="E17" s="1">
        <v>25500.06</v>
      </c>
      <c r="F17" s="1">
        <v>25500.06</v>
      </c>
      <c r="G17" s="2">
        <v>1743504600</v>
      </c>
      <c r="H17" s="1">
        <v>25818.364081957508</v>
      </c>
      <c r="I17" s="1" t="s">
        <v>9</v>
      </c>
      <c r="J17" s="1" t="str">
        <f>IF(表格1[[#This Row],[B/H/S]]="B", -表格1[[#This Row],[最高]], IF(表格1[[#This Row],[B/H/S]]="S",表格1[[#This Row],[最低]],""))</f>
        <v/>
      </c>
      <c r="K17" s="1" t="str">
        <f>IF(表格1[[#This Row],[買入/賣出價格]]&lt;&gt;"",ABS(表格1[[#This Row],[買入/賣出價格]]),"")</f>
        <v/>
      </c>
    </row>
    <row r="18" spans="1:11" x14ac:dyDescent="0.4">
      <c r="A18" s="3">
        <v>42927</v>
      </c>
      <c r="B18" s="1">
        <v>25605.19</v>
      </c>
      <c r="C18" s="1">
        <v>25941.47</v>
      </c>
      <c r="D18" s="1">
        <v>25596.21</v>
      </c>
      <c r="E18" s="1">
        <v>25877.64</v>
      </c>
      <c r="F18" s="1">
        <v>25877.64</v>
      </c>
      <c r="G18" s="2">
        <v>2230926300</v>
      </c>
      <c r="H18" s="1">
        <v>25315.91</v>
      </c>
      <c r="I18" s="1" t="s">
        <v>10</v>
      </c>
      <c r="J18" s="1">
        <f>IF(表格1[[#This Row],[B/H/S]]="B", -表格1[[#This Row],[最高]], IF(表格1[[#This Row],[B/H/S]]="S",表格1[[#This Row],[最低]],""))</f>
        <v>-25941.47</v>
      </c>
      <c r="K18" s="1">
        <f>IF(表格1[[#This Row],[買入/賣出價格]]&lt;&gt;"",ABS(表格1[[#This Row],[買入/賣出價格]]),"")</f>
        <v>25941.47</v>
      </c>
    </row>
    <row r="19" spans="1:11" x14ac:dyDescent="0.4">
      <c r="A19" s="3">
        <v>42928</v>
      </c>
      <c r="B19" s="1">
        <v>25991.35</v>
      </c>
      <c r="C19" s="1">
        <v>26147.3</v>
      </c>
      <c r="D19" s="1">
        <v>25991.35</v>
      </c>
      <c r="E19" s="1">
        <v>26043.64</v>
      </c>
      <c r="F19" s="1">
        <v>26043.64</v>
      </c>
      <c r="G19" s="2">
        <v>2695389200</v>
      </c>
      <c r="H19" s="1">
        <v>25328.421200000001</v>
      </c>
      <c r="I19" s="1" t="s">
        <v>9</v>
      </c>
      <c r="J19" s="1" t="str">
        <f>IF(表格1[[#This Row],[B/H/S]]="B", -表格1[[#This Row],[最高]], IF(表格1[[#This Row],[B/H/S]]="S",表格1[[#This Row],[最低]],""))</f>
        <v/>
      </c>
      <c r="K19" s="1" t="str">
        <f>IF(表格1[[#This Row],[買入/賣出價格]]&lt;&gt;"",ABS(表格1[[#This Row],[買入/賣出價格]]),"")</f>
        <v/>
      </c>
    </row>
    <row r="20" spans="1:11" x14ac:dyDescent="0.4">
      <c r="A20" s="3">
        <v>42929</v>
      </c>
      <c r="B20" s="1">
        <v>26340.29</v>
      </c>
      <c r="C20" s="1">
        <v>26383.759999999998</v>
      </c>
      <c r="D20" s="1">
        <v>26255.31</v>
      </c>
      <c r="E20" s="1">
        <v>26346.17</v>
      </c>
      <c r="F20" s="1">
        <v>26346.17</v>
      </c>
      <c r="G20" s="2">
        <v>1971724000</v>
      </c>
      <c r="H20" s="1">
        <v>25361.176352000002</v>
      </c>
      <c r="I20" s="1" t="s">
        <v>9</v>
      </c>
      <c r="J20" s="1" t="str">
        <f>IF(表格1[[#This Row],[B/H/S]]="B", -表格1[[#This Row],[最高]], IF(表格1[[#This Row],[B/H/S]]="S",表格1[[#This Row],[最低]],""))</f>
        <v/>
      </c>
      <c r="K20" s="1" t="str">
        <f>IF(表格1[[#This Row],[買入/賣出價格]]&lt;&gt;"",ABS(表格1[[#This Row],[買入/賣出價格]]),"")</f>
        <v/>
      </c>
    </row>
    <row r="21" spans="1:11" x14ac:dyDescent="0.4">
      <c r="A21" s="3">
        <v>42930</v>
      </c>
      <c r="B21" s="1">
        <v>26416.68</v>
      </c>
      <c r="C21" s="1">
        <v>26416.68</v>
      </c>
      <c r="D21" s="1">
        <v>26295.99</v>
      </c>
      <c r="E21" s="1">
        <v>26389.23</v>
      </c>
      <c r="F21" s="1">
        <v>26389.23</v>
      </c>
      <c r="G21" s="2">
        <v>1744841800</v>
      </c>
      <c r="H21" s="1">
        <v>25422.531370880002</v>
      </c>
      <c r="I21" s="1" t="s">
        <v>9</v>
      </c>
      <c r="J21" s="1" t="str">
        <f>IF(表格1[[#This Row],[B/H/S]]="B", -表格1[[#This Row],[最高]], IF(表格1[[#This Row],[B/H/S]]="S",表格1[[#This Row],[最低]],""))</f>
        <v/>
      </c>
      <c r="K21" s="1" t="str">
        <f>IF(表格1[[#This Row],[買入/賣出價格]]&lt;&gt;"",ABS(表格1[[#This Row],[買入/賣出價格]]),"")</f>
        <v/>
      </c>
    </row>
    <row r="22" spans="1:11" x14ac:dyDescent="0.4">
      <c r="A22" s="3">
        <v>42933</v>
      </c>
      <c r="B22" s="1">
        <v>26572.92</v>
      </c>
      <c r="C22" s="1">
        <v>26618.66</v>
      </c>
      <c r="D22" s="1">
        <v>26353.83</v>
      </c>
      <c r="E22" s="1">
        <v>26470.58</v>
      </c>
      <c r="F22" s="1">
        <v>26470.58</v>
      </c>
      <c r="G22" s="2">
        <v>1837446700</v>
      </c>
      <c r="H22" s="1">
        <v>25502.063261209601</v>
      </c>
      <c r="I22" s="1" t="s">
        <v>9</v>
      </c>
      <c r="J22" s="1" t="str">
        <f>IF(表格1[[#This Row],[B/H/S]]="B", -表格1[[#This Row],[最高]], IF(表格1[[#This Row],[B/H/S]]="S",表格1[[#This Row],[最低]],""))</f>
        <v/>
      </c>
      <c r="K22" s="1" t="str">
        <f>IF(表格1[[#This Row],[買入/賣出價格]]&lt;&gt;"",ABS(表格1[[#This Row],[買入/賣出價格]]),"")</f>
        <v/>
      </c>
    </row>
    <row r="23" spans="1:11" x14ac:dyDescent="0.4">
      <c r="A23" s="3">
        <v>42934</v>
      </c>
      <c r="B23" s="1">
        <v>26489.52</v>
      </c>
      <c r="C23" s="1">
        <v>26540.17</v>
      </c>
      <c r="D23" s="1">
        <v>26381.14</v>
      </c>
      <c r="E23" s="1">
        <v>26524.94</v>
      </c>
      <c r="F23" s="1">
        <v>26524.94</v>
      </c>
      <c r="G23" s="2">
        <v>1872330800</v>
      </c>
      <c r="H23" s="1">
        <v>25613.722935088641</v>
      </c>
      <c r="I23" s="1" t="s">
        <v>9</v>
      </c>
      <c r="J23" s="1" t="str">
        <f>IF(表格1[[#This Row],[B/H/S]]="B", -表格1[[#This Row],[最高]], IF(表格1[[#This Row],[B/H/S]]="S",表格1[[#This Row],[最低]],""))</f>
        <v/>
      </c>
      <c r="K23" s="1" t="str">
        <f>IF(表格1[[#This Row],[買入/賣出價格]]&lt;&gt;"",ABS(表格1[[#This Row],[買入/賣出價格]]),"")</f>
        <v/>
      </c>
    </row>
    <row r="24" spans="1:11" x14ac:dyDescent="0.4">
      <c r="A24" s="3">
        <v>42935</v>
      </c>
      <c r="B24" s="1">
        <v>26561.81</v>
      </c>
      <c r="C24" s="1">
        <v>26682.639999999999</v>
      </c>
      <c r="D24" s="1">
        <v>26541.56</v>
      </c>
      <c r="E24" s="1">
        <v>26672.16</v>
      </c>
      <c r="F24" s="1">
        <v>26672.16</v>
      </c>
      <c r="G24" s="2">
        <v>1346812900</v>
      </c>
      <c r="H24" s="1">
        <v>25714.216641579776</v>
      </c>
      <c r="I24" s="1" t="s">
        <v>9</v>
      </c>
      <c r="J24" s="1" t="str">
        <f>IF(表格1[[#This Row],[B/H/S]]="B", -表格1[[#This Row],[最高]], IF(表格1[[#This Row],[B/H/S]]="S",表格1[[#This Row],[最低]],""))</f>
        <v/>
      </c>
      <c r="K24" s="1" t="str">
        <f>IF(表格1[[#This Row],[買入/賣出價格]]&lt;&gt;"",ABS(表格1[[#This Row],[買入/賣出價格]]),"")</f>
        <v/>
      </c>
    </row>
    <row r="25" spans="1:11" x14ac:dyDescent="0.4">
      <c r="A25" s="3">
        <v>42936</v>
      </c>
      <c r="B25" s="1">
        <v>26770.48</v>
      </c>
      <c r="C25" s="1">
        <v>26794.18</v>
      </c>
      <c r="D25" s="1">
        <v>26632.98</v>
      </c>
      <c r="E25" s="1">
        <v>26740.21</v>
      </c>
      <c r="F25" s="1">
        <v>26740.21</v>
      </c>
      <c r="G25" s="2">
        <v>1408343500</v>
      </c>
      <c r="H25" s="1">
        <v>25830.427444590205</v>
      </c>
      <c r="I25" s="1" t="s">
        <v>9</v>
      </c>
      <c r="J25" s="1" t="str">
        <f>IF(表格1[[#This Row],[B/H/S]]="B", -表格1[[#This Row],[最高]], IF(表格1[[#This Row],[B/H/S]]="S",表格1[[#This Row],[最低]],""))</f>
        <v/>
      </c>
      <c r="K25" s="1" t="str">
        <f>IF(表格1[[#This Row],[買入/賣出價格]]&lt;&gt;"",ABS(表格1[[#This Row],[買入/賣出價格]]),"")</f>
        <v/>
      </c>
    </row>
    <row r="26" spans="1:11" x14ac:dyDescent="0.4">
      <c r="A26" s="3">
        <v>42937</v>
      </c>
      <c r="B26" s="1">
        <v>26777.439999999999</v>
      </c>
      <c r="C26" s="1">
        <v>26778.42</v>
      </c>
      <c r="D26" s="1">
        <v>26663.25</v>
      </c>
      <c r="E26" s="1">
        <v>26706.09</v>
      </c>
      <c r="F26" s="1">
        <v>26706.09</v>
      </c>
      <c r="G26" s="2">
        <v>1502400500</v>
      </c>
      <c r="H26" s="1">
        <v>25965.352802347577</v>
      </c>
      <c r="I26" s="1" t="s">
        <v>9</v>
      </c>
      <c r="J26" s="1" t="str">
        <f>IF(表格1[[#This Row],[B/H/S]]="B", -表格1[[#This Row],[最高]], IF(表格1[[#This Row],[B/H/S]]="S",表格1[[#This Row],[最低]],""))</f>
        <v/>
      </c>
      <c r="K26" s="1" t="str">
        <f>IF(表格1[[#This Row],[買入/賣出價格]]&lt;&gt;"",ABS(表格1[[#This Row],[買入/賣出價格]]),"")</f>
        <v/>
      </c>
    </row>
    <row r="27" spans="1:11" x14ac:dyDescent="0.4">
      <c r="A27" s="3">
        <v>42940</v>
      </c>
      <c r="B27" s="1">
        <v>26720.04</v>
      </c>
      <c r="C27" s="1">
        <v>26882</v>
      </c>
      <c r="D27" s="1">
        <v>26674.5</v>
      </c>
      <c r="E27" s="1">
        <v>26846.83</v>
      </c>
      <c r="F27" s="1">
        <v>26846.83</v>
      </c>
      <c r="G27" s="2">
        <v>1532468700</v>
      </c>
      <c r="H27" s="1">
        <v>26081.388610018916</v>
      </c>
      <c r="I27" s="1" t="s">
        <v>9</v>
      </c>
      <c r="J27" s="1" t="str">
        <f>IF(表格1[[#This Row],[B/H/S]]="B", -表格1[[#This Row],[最高]], IF(表格1[[#This Row],[B/H/S]]="S",表格1[[#This Row],[最低]],""))</f>
        <v/>
      </c>
      <c r="K27" s="1" t="str">
        <f>IF(表格1[[#This Row],[買入/賣出價格]]&lt;&gt;"",ABS(表格1[[#This Row],[買入/賣出價格]]),"")</f>
        <v/>
      </c>
    </row>
    <row r="28" spans="1:11" x14ac:dyDescent="0.4">
      <c r="A28" s="3">
        <v>42941</v>
      </c>
      <c r="B28" s="1">
        <v>26847.58</v>
      </c>
      <c r="C28" s="1">
        <v>26889.7</v>
      </c>
      <c r="D28" s="1">
        <v>26799.77</v>
      </c>
      <c r="E28" s="1">
        <v>26852.05</v>
      </c>
      <c r="F28" s="1">
        <v>26852.05</v>
      </c>
      <c r="G28" s="2">
        <v>1450948000</v>
      </c>
      <c r="H28" s="1">
        <v>26209.486432415888</v>
      </c>
      <c r="I28" s="1" t="s">
        <v>9</v>
      </c>
      <c r="J28" s="1" t="str">
        <f>IF(表格1[[#This Row],[B/H/S]]="B", -表格1[[#This Row],[最高]], IF(表格1[[#This Row],[B/H/S]]="S",表格1[[#This Row],[最低]],""))</f>
        <v/>
      </c>
      <c r="K28" s="1" t="str">
        <f>IF(表格1[[#This Row],[買入/賣出價格]]&lt;&gt;"",ABS(表格1[[#This Row],[買入/賣出價格]]),"")</f>
        <v/>
      </c>
    </row>
    <row r="29" spans="1:11" x14ac:dyDescent="0.4">
      <c r="A29" s="3">
        <v>42942</v>
      </c>
      <c r="B29" s="1">
        <v>26960.81</v>
      </c>
      <c r="C29" s="1">
        <v>27007.27</v>
      </c>
      <c r="D29" s="1">
        <v>26786.63</v>
      </c>
      <c r="E29" s="1">
        <v>26941.02</v>
      </c>
      <c r="F29" s="1">
        <v>26941.02</v>
      </c>
      <c r="G29" s="2">
        <v>2176480400</v>
      </c>
      <c r="H29" s="1">
        <v>26331.924874581029</v>
      </c>
      <c r="I29" s="1" t="s">
        <v>9</v>
      </c>
      <c r="J29" s="1" t="str">
        <f>IF(表格1[[#This Row],[B/H/S]]="B", -表格1[[#This Row],[最高]], IF(表格1[[#This Row],[B/H/S]]="S",表格1[[#This Row],[最低]],""))</f>
        <v/>
      </c>
      <c r="K29" s="1" t="str">
        <f>IF(表格1[[#This Row],[買入/賣出價格]]&lt;&gt;"",ABS(表格1[[#This Row],[買入/賣出價格]]),"")</f>
        <v/>
      </c>
    </row>
    <row r="30" spans="1:11" x14ac:dyDescent="0.4">
      <c r="A30" s="3">
        <v>42943</v>
      </c>
      <c r="B30" s="1">
        <v>27002.7</v>
      </c>
      <c r="C30" s="1">
        <v>27169.15</v>
      </c>
      <c r="D30" s="1">
        <v>26962.03</v>
      </c>
      <c r="E30" s="1">
        <v>27131.17</v>
      </c>
      <c r="F30" s="1">
        <v>27131.17</v>
      </c>
      <c r="G30" s="2">
        <v>1763945900</v>
      </c>
      <c r="H30" s="1">
        <v>26466.993899664823</v>
      </c>
      <c r="I30" s="1" t="s">
        <v>9</v>
      </c>
      <c r="J30" s="1" t="str">
        <f>IF(表格1[[#This Row],[B/H/S]]="B", -表格1[[#This Row],[最高]], IF(表格1[[#This Row],[B/H/S]]="S",表格1[[#This Row],[最低]],""))</f>
        <v/>
      </c>
      <c r="K30" s="1" t="str">
        <f>IF(表格1[[#This Row],[買入/賣出價格]]&lt;&gt;"",ABS(表格1[[#This Row],[買入/賣出價格]]),"")</f>
        <v/>
      </c>
    </row>
    <row r="31" spans="1:11" x14ac:dyDescent="0.4">
      <c r="A31" s="3">
        <v>42944</v>
      </c>
      <c r="B31" s="1">
        <v>27007.97</v>
      </c>
      <c r="C31" s="1">
        <v>27047.88</v>
      </c>
      <c r="D31" s="1">
        <v>26928.44</v>
      </c>
      <c r="E31" s="1">
        <v>26979.39</v>
      </c>
      <c r="F31" s="1">
        <v>26979.39</v>
      </c>
      <c r="G31" s="2">
        <v>1456040200</v>
      </c>
      <c r="H31" s="1">
        <v>26621.468241738563</v>
      </c>
      <c r="I31" s="1" t="s">
        <v>9</v>
      </c>
      <c r="J31" s="1" t="str">
        <f>IF(表格1[[#This Row],[B/H/S]]="B", -表格1[[#This Row],[最高]], IF(表格1[[#This Row],[B/H/S]]="S",表格1[[#This Row],[最低]],""))</f>
        <v/>
      </c>
      <c r="K31" s="1" t="str">
        <f>IF(表格1[[#This Row],[買入/賣出價格]]&lt;&gt;"",ABS(表格1[[#This Row],[買入/賣出價格]]),"")</f>
        <v/>
      </c>
    </row>
    <row r="32" spans="1:11" x14ac:dyDescent="0.4">
      <c r="A32" s="3">
        <v>42947</v>
      </c>
      <c r="B32" s="1">
        <v>27048.45</v>
      </c>
      <c r="C32" s="1">
        <v>27324.38</v>
      </c>
      <c r="D32" s="1">
        <v>27045.41</v>
      </c>
      <c r="E32" s="1">
        <v>27323.99</v>
      </c>
      <c r="F32" s="1">
        <v>27323.99</v>
      </c>
      <c r="G32" s="2">
        <v>1693214100</v>
      </c>
      <c r="H32" s="1">
        <v>26741.958228556079</v>
      </c>
      <c r="I32" s="1" t="s">
        <v>9</v>
      </c>
      <c r="J32" s="1" t="str">
        <f>IF(表格1[[#This Row],[B/H/S]]="B", -表格1[[#This Row],[最高]], IF(表格1[[#This Row],[B/H/S]]="S",表格1[[#This Row],[最低]],""))</f>
        <v/>
      </c>
      <c r="K32" s="1" t="str">
        <f>IF(表格1[[#This Row],[買入/賣出價格]]&lt;&gt;"",ABS(表格1[[#This Row],[買入/賣出價格]]),"")</f>
        <v/>
      </c>
    </row>
    <row r="33" spans="1:11" x14ac:dyDescent="0.4">
      <c r="A33" s="3">
        <v>42948</v>
      </c>
      <c r="B33" s="1">
        <v>27326.04</v>
      </c>
      <c r="C33" s="1">
        <v>27558</v>
      </c>
      <c r="D33" s="1">
        <v>27326.04</v>
      </c>
      <c r="E33" s="1">
        <v>27540.23</v>
      </c>
      <c r="F33" s="1">
        <v>27540.23</v>
      </c>
      <c r="G33" s="2">
        <v>2392422600</v>
      </c>
      <c r="H33" s="1">
        <v>26870.091018273743</v>
      </c>
      <c r="I33" s="1" t="s">
        <v>9</v>
      </c>
      <c r="J33" s="1" t="str">
        <f>IF(表格1[[#This Row],[B/H/S]]="B", -表格1[[#This Row],[最高]], IF(表格1[[#This Row],[B/H/S]]="S",表格1[[#This Row],[最低]],""))</f>
        <v/>
      </c>
      <c r="K33" s="1" t="str">
        <f>IF(表格1[[#This Row],[買入/賣出價格]]&lt;&gt;"",ABS(表格1[[#This Row],[買入/賣出價格]]),"")</f>
        <v/>
      </c>
    </row>
    <row r="34" spans="1:11" x14ac:dyDescent="0.4">
      <c r="A34" s="3">
        <v>42949</v>
      </c>
      <c r="B34" s="1">
        <v>27645.279999999999</v>
      </c>
      <c r="C34" s="1">
        <v>27747.35</v>
      </c>
      <c r="D34" s="1">
        <v>27570.5</v>
      </c>
      <c r="E34" s="1">
        <v>27607.38</v>
      </c>
      <c r="F34" s="1">
        <v>27607.38</v>
      </c>
      <c r="G34" s="2">
        <v>2052633600</v>
      </c>
      <c r="H34" s="1">
        <v>27021.430994253518</v>
      </c>
      <c r="I34" s="1" t="s">
        <v>9</v>
      </c>
      <c r="J34" s="1" t="str">
        <f>IF(表格1[[#This Row],[B/H/S]]="B", -表格1[[#This Row],[最高]], IF(表格1[[#This Row],[B/H/S]]="S",表格1[[#This Row],[最低]],""))</f>
        <v/>
      </c>
      <c r="K34" s="1" t="str">
        <f>IF(表格1[[#This Row],[買入/賣出價格]]&lt;&gt;"",ABS(表格1[[#This Row],[買入/賣出價格]]),"")</f>
        <v/>
      </c>
    </row>
    <row r="35" spans="1:11" x14ac:dyDescent="0.4">
      <c r="A35" s="3">
        <v>42950</v>
      </c>
      <c r="B35" s="1">
        <v>27533.51</v>
      </c>
      <c r="C35" s="1">
        <v>27601.05</v>
      </c>
      <c r="D35" s="1">
        <v>27399.58</v>
      </c>
      <c r="E35" s="1">
        <v>27531.01</v>
      </c>
      <c r="F35" s="1">
        <v>27531.01</v>
      </c>
      <c r="G35" s="2">
        <v>1682624400</v>
      </c>
      <c r="H35" s="1">
        <v>27181.133175517745</v>
      </c>
      <c r="I35" s="1" t="s">
        <v>9</v>
      </c>
      <c r="J35" s="1" t="str">
        <f>IF(表格1[[#This Row],[B/H/S]]="B", -表格1[[#This Row],[最高]], IF(表格1[[#This Row],[B/H/S]]="S",表格1[[#This Row],[最低]],""))</f>
        <v/>
      </c>
      <c r="K35" s="1" t="str">
        <f>IF(表格1[[#This Row],[買入/賣出價格]]&lt;&gt;"",ABS(表格1[[#This Row],[買入/賣出價格]]),"")</f>
        <v/>
      </c>
    </row>
    <row r="36" spans="1:11" x14ac:dyDescent="0.4">
      <c r="A36" s="3">
        <v>42951</v>
      </c>
      <c r="B36" s="1">
        <v>27564.71</v>
      </c>
      <c r="C36" s="1">
        <v>27615.03</v>
      </c>
      <c r="D36" s="1">
        <v>27508.11</v>
      </c>
      <c r="E36" s="1">
        <v>27562.68</v>
      </c>
      <c r="F36" s="1">
        <v>27562.68</v>
      </c>
      <c r="G36" s="2">
        <v>1464939100</v>
      </c>
      <c r="H36" s="1">
        <v>27305.70087690384</v>
      </c>
      <c r="I36" s="1" t="s">
        <v>9</v>
      </c>
      <c r="J36" s="1" t="str">
        <f>IF(表格1[[#This Row],[B/H/S]]="B", -表格1[[#This Row],[最高]], IF(表格1[[#This Row],[B/H/S]]="S",表格1[[#This Row],[最低]],""))</f>
        <v/>
      </c>
      <c r="K36" s="1" t="str">
        <f>IF(表格1[[#This Row],[買入/賣出價格]]&lt;&gt;"",ABS(表格1[[#This Row],[買入/賣出價格]]),"")</f>
        <v/>
      </c>
    </row>
    <row r="37" spans="1:11" x14ac:dyDescent="0.4">
      <c r="A37" s="3">
        <v>42954</v>
      </c>
      <c r="B37" s="1">
        <v>27665.71</v>
      </c>
      <c r="C37" s="1">
        <v>27731.919999999998</v>
      </c>
      <c r="D37" s="1">
        <v>27629.200000000001</v>
      </c>
      <c r="E37" s="1">
        <v>27690.36</v>
      </c>
      <c r="F37" s="1">
        <v>27690.36</v>
      </c>
      <c r="G37" s="2">
        <v>1484632800</v>
      </c>
      <c r="H37" s="1">
        <v>27399.58</v>
      </c>
      <c r="I37" s="1" t="s">
        <v>9</v>
      </c>
      <c r="J37" s="1" t="str">
        <f>IF(表格1[[#This Row],[B/H/S]]="B", -表格1[[#This Row],[最高]], IF(表格1[[#This Row],[B/H/S]]="S",表格1[[#This Row],[最低]],""))</f>
        <v/>
      </c>
      <c r="K37" s="1" t="str">
        <f>IF(表格1[[#This Row],[買入/賣出價格]]&lt;&gt;"",ABS(表格1[[#This Row],[買入/賣出價格]]),"")</f>
        <v/>
      </c>
    </row>
    <row r="38" spans="1:11" x14ac:dyDescent="0.4">
      <c r="A38" s="3">
        <v>42955</v>
      </c>
      <c r="B38" s="1">
        <v>27684.6</v>
      </c>
      <c r="C38" s="1">
        <v>27867.56</v>
      </c>
      <c r="D38" s="1">
        <v>27626.19</v>
      </c>
      <c r="E38" s="1">
        <v>27854.91</v>
      </c>
      <c r="F38" s="1">
        <v>27854.91</v>
      </c>
      <c r="G38" s="2">
        <v>1726572600</v>
      </c>
      <c r="H38" s="1">
        <v>27476.089400000001</v>
      </c>
      <c r="I38" s="1" t="s">
        <v>9</v>
      </c>
      <c r="J38" s="1" t="str">
        <f>IF(表格1[[#This Row],[B/H/S]]="B", -表格1[[#This Row],[最高]], IF(表格1[[#This Row],[B/H/S]]="S",表格1[[#This Row],[最低]],""))</f>
        <v/>
      </c>
      <c r="K38" s="1" t="str">
        <f>IF(表格1[[#This Row],[買入/賣出價格]]&lt;&gt;"",ABS(表格1[[#This Row],[買入/賣出價格]]),"")</f>
        <v/>
      </c>
    </row>
    <row r="39" spans="1:11" x14ac:dyDescent="0.4">
      <c r="A39" s="3">
        <v>42956</v>
      </c>
      <c r="B39" s="1">
        <v>27760.080000000002</v>
      </c>
      <c r="C39" s="1">
        <v>27876.12</v>
      </c>
      <c r="D39" s="1">
        <v>27602.66</v>
      </c>
      <c r="E39" s="1">
        <v>27757.09</v>
      </c>
      <c r="F39" s="1">
        <v>27757.09</v>
      </c>
      <c r="G39" s="2">
        <v>1650670500</v>
      </c>
      <c r="H39" s="1">
        <v>27562.212932000002</v>
      </c>
      <c r="I39" s="1" t="s">
        <v>9</v>
      </c>
      <c r="J39" s="1" t="str">
        <f>IF(表格1[[#This Row],[B/H/S]]="B", -表格1[[#This Row],[最高]], IF(表格1[[#This Row],[B/H/S]]="S",表格1[[#This Row],[最低]],""))</f>
        <v/>
      </c>
      <c r="K39" s="1" t="str">
        <f>IF(表格1[[#This Row],[買入/賣出價格]]&lt;&gt;"",ABS(表格1[[#This Row],[買入/賣出價格]]),"")</f>
        <v/>
      </c>
    </row>
    <row r="40" spans="1:11" x14ac:dyDescent="0.4">
      <c r="A40" s="3">
        <v>42957</v>
      </c>
      <c r="B40" s="1">
        <v>27791.360000000001</v>
      </c>
      <c r="C40" s="1">
        <v>27791.360000000001</v>
      </c>
      <c r="D40" s="1">
        <v>27267.03</v>
      </c>
      <c r="E40" s="1">
        <v>27444</v>
      </c>
      <c r="F40" s="1">
        <v>27444</v>
      </c>
      <c r="G40" s="2">
        <v>2175962000</v>
      </c>
      <c r="H40" s="1">
        <v>27876.12</v>
      </c>
      <c r="I40" s="1" t="s">
        <v>11</v>
      </c>
      <c r="J40" s="1">
        <f>IF(表格1[[#This Row],[B/H/S]]="B", -表格1[[#This Row],[最高]], IF(表格1[[#This Row],[B/H/S]]="S",表格1[[#This Row],[最低]],""))</f>
        <v>27267.03</v>
      </c>
      <c r="K40" s="1">
        <f>IF(表格1[[#This Row],[買入/賣出價格]]&lt;&gt;"",ABS(表格1[[#This Row],[買入/賣出價格]]),"")</f>
        <v>27267.03</v>
      </c>
    </row>
    <row r="41" spans="1:11" x14ac:dyDescent="0.4">
      <c r="A41" s="3">
        <v>42958</v>
      </c>
      <c r="B41" s="1">
        <v>27000.43</v>
      </c>
      <c r="C41" s="1">
        <v>27184.21</v>
      </c>
      <c r="D41" s="1">
        <v>26863.71</v>
      </c>
      <c r="E41" s="1">
        <v>26883.51</v>
      </c>
      <c r="F41" s="1">
        <v>26883.51</v>
      </c>
      <c r="G41" s="2">
        <v>3133494700</v>
      </c>
      <c r="H41" s="1">
        <v>27876.12</v>
      </c>
      <c r="I41" s="1" t="s">
        <v>9</v>
      </c>
      <c r="J41" s="1" t="str">
        <f>IF(表格1[[#This Row],[B/H/S]]="B", -表格1[[#This Row],[最高]], IF(表格1[[#This Row],[B/H/S]]="S",表格1[[#This Row],[最低]],""))</f>
        <v/>
      </c>
      <c r="K41" s="1" t="str">
        <f>IF(表格1[[#This Row],[買入/賣出價格]]&lt;&gt;"",ABS(表格1[[#This Row],[買入/賣出價格]]),"")</f>
        <v/>
      </c>
    </row>
    <row r="42" spans="1:11" x14ac:dyDescent="0.4">
      <c r="A42" s="3">
        <v>42961</v>
      </c>
      <c r="B42" s="1">
        <v>27091.77</v>
      </c>
      <c r="C42" s="1">
        <v>27268.23</v>
      </c>
      <c r="D42" s="1">
        <v>27032.400000000001</v>
      </c>
      <c r="E42" s="1">
        <v>27250.23</v>
      </c>
      <c r="F42" s="1">
        <v>27250.23</v>
      </c>
      <c r="G42" s="2">
        <v>1416372000</v>
      </c>
      <c r="H42" s="1">
        <v>27835.623599999999</v>
      </c>
      <c r="I42" s="1" t="s">
        <v>9</v>
      </c>
      <c r="J42" s="1" t="str">
        <f>IF(表格1[[#This Row],[B/H/S]]="B", -表格1[[#This Row],[最高]], IF(表格1[[#This Row],[B/H/S]]="S",表格1[[#This Row],[最低]],""))</f>
        <v/>
      </c>
      <c r="K42" s="1" t="str">
        <f>IF(表格1[[#This Row],[買入/賣出價格]]&lt;&gt;"",ABS(表格1[[#This Row],[買入/賣出價格]]),"")</f>
        <v/>
      </c>
    </row>
    <row r="43" spans="1:11" x14ac:dyDescent="0.4">
      <c r="A43" s="3">
        <v>42962</v>
      </c>
      <c r="B43" s="1">
        <v>27371.25</v>
      </c>
      <c r="C43" s="1">
        <v>27438.42</v>
      </c>
      <c r="D43" s="1">
        <v>27174.959999999999</v>
      </c>
      <c r="E43" s="1">
        <v>27174.959999999999</v>
      </c>
      <c r="F43" s="1">
        <v>27174.959999999999</v>
      </c>
      <c r="G43" s="2">
        <v>2735953400</v>
      </c>
      <c r="H43" s="1">
        <v>27796.747056</v>
      </c>
      <c r="I43" s="1" t="s">
        <v>9</v>
      </c>
      <c r="J43" s="1" t="str">
        <f>IF(表格1[[#This Row],[B/H/S]]="B", -表格1[[#This Row],[最高]], IF(表格1[[#This Row],[B/H/S]]="S",表格1[[#This Row],[最低]],""))</f>
        <v/>
      </c>
      <c r="K43" s="1" t="str">
        <f>IF(表格1[[#This Row],[買入/賣出價格]]&lt;&gt;"",ABS(表格1[[#This Row],[買入/賣出價格]]),"")</f>
        <v/>
      </c>
    </row>
    <row r="44" spans="1:11" x14ac:dyDescent="0.4">
      <c r="A44" s="3">
        <v>42963</v>
      </c>
      <c r="B44" s="1">
        <v>27238.81</v>
      </c>
      <c r="C44" s="1">
        <v>27422.3</v>
      </c>
      <c r="D44" s="1">
        <v>27238.81</v>
      </c>
      <c r="E44" s="1">
        <v>27409.07</v>
      </c>
      <c r="F44" s="1">
        <v>27409.07</v>
      </c>
      <c r="G44" s="2">
        <v>1771056700</v>
      </c>
      <c r="H44" s="1">
        <v>27759.42557376</v>
      </c>
      <c r="I44" s="1" t="s">
        <v>9</v>
      </c>
      <c r="J44" s="1" t="str">
        <f>IF(表格1[[#This Row],[B/H/S]]="B", -表格1[[#This Row],[最高]], IF(表格1[[#This Row],[B/H/S]]="S",表格1[[#This Row],[最低]],""))</f>
        <v/>
      </c>
      <c r="K44" s="1" t="str">
        <f>IF(表格1[[#This Row],[買入/賣出價格]]&lt;&gt;"",ABS(表格1[[#This Row],[買入/賣出價格]]),"")</f>
        <v/>
      </c>
    </row>
    <row r="45" spans="1:11" x14ac:dyDescent="0.4">
      <c r="A45" s="3">
        <v>42964</v>
      </c>
      <c r="B45" s="1">
        <v>27610.29</v>
      </c>
      <c r="C45" s="1">
        <v>27624.52</v>
      </c>
      <c r="D45" s="1">
        <v>27302.48</v>
      </c>
      <c r="E45" s="1">
        <v>27344.22</v>
      </c>
      <c r="F45" s="1">
        <v>27344.22</v>
      </c>
      <c r="G45" s="2">
        <v>1795330700</v>
      </c>
      <c r="H45" s="1">
        <v>27723.596950809599</v>
      </c>
      <c r="I45" s="1" t="s">
        <v>9</v>
      </c>
      <c r="J45" s="1" t="str">
        <f>IF(表格1[[#This Row],[B/H/S]]="B", -表格1[[#This Row],[最高]], IF(表格1[[#This Row],[B/H/S]]="S",表格1[[#This Row],[最低]],""))</f>
        <v/>
      </c>
      <c r="K45" s="1" t="str">
        <f>IF(表格1[[#This Row],[買入/賣出價格]]&lt;&gt;"",ABS(表格1[[#This Row],[買入/賣出價格]]),"")</f>
        <v/>
      </c>
    </row>
    <row r="46" spans="1:11" x14ac:dyDescent="0.4">
      <c r="A46" s="3">
        <v>42965</v>
      </c>
      <c r="B46" s="1">
        <v>26999.599999999999</v>
      </c>
      <c r="C46" s="1">
        <v>27236.32</v>
      </c>
      <c r="D46" s="1">
        <v>26951.919999999998</v>
      </c>
      <c r="E46" s="1">
        <v>27047.57</v>
      </c>
      <c r="F46" s="1">
        <v>27047.57</v>
      </c>
      <c r="G46" s="2">
        <v>1691600400</v>
      </c>
      <c r="H46" s="1">
        <v>27689.201472777215</v>
      </c>
      <c r="I46" s="1" t="s">
        <v>9</v>
      </c>
      <c r="J46" s="1" t="str">
        <f>IF(表格1[[#This Row],[B/H/S]]="B", -表格1[[#This Row],[最高]], IF(表格1[[#This Row],[B/H/S]]="S",表格1[[#This Row],[最低]],""))</f>
        <v/>
      </c>
      <c r="K46" s="1" t="str">
        <f>IF(表格1[[#This Row],[買入/賣出價格]]&lt;&gt;"",ABS(表格1[[#This Row],[買入/賣出價格]]),"")</f>
        <v/>
      </c>
    </row>
    <row r="47" spans="1:11" x14ac:dyDescent="0.4">
      <c r="A47" s="3">
        <v>42968</v>
      </c>
      <c r="B47" s="1">
        <v>27100.63</v>
      </c>
      <c r="C47" s="1">
        <v>27221.31</v>
      </c>
      <c r="D47" s="1">
        <v>27086.43</v>
      </c>
      <c r="E47" s="1">
        <v>27154.68</v>
      </c>
      <c r="F47" s="1">
        <v>27154.68</v>
      </c>
      <c r="G47" s="2">
        <v>1770623000</v>
      </c>
      <c r="H47" s="1">
        <v>27656.181813866126</v>
      </c>
      <c r="I47" s="1" t="s">
        <v>9</v>
      </c>
      <c r="J47" s="1" t="str">
        <f>IF(表格1[[#This Row],[B/H/S]]="B", -表格1[[#This Row],[最高]], IF(表格1[[#This Row],[B/H/S]]="S",表格1[[#This Row],[最低]],""))</f>
        <v/>
      </c>
      <c r="K47" s="1" t="str">
        <f>IF(表格1[[#This Row],[買入/賣出價格]]&lt;&gt;"",ABS(表格1[[#This Row],[買入/賣出價格]]),"")</f>
        <v/>
      </c>
    </row>
    <row r="48" spans="1:11" x14ac:dyDescent="0.4">
      <c r="A48" s="3">
        <v>42969</v>
      </c>
      <c r="B48" s="1">
        <v>27322.2</v>
      </c>
      <c r="C48" s="1">
        <v>27509.06</v>
      </c>
      <c r="D48" s="1">
        <v>27316.080000000002</v>
      </c>
      <c r="E48" s="1">
        <v>27401.67</v>
      </c>
      <c r="F48" s="1">
        <v>27401.67</v>
      </c>
      <c r="G48" s="2">
        <v>2049708500</v>
      </c>
      <c r="H48" s="1">
        <v>27624.482941311482</v>
      </c>
      <c r="I48" s="1" t="s">
        <v>9</v>
      </c>
      <c r="J48" s="1" t="str">
        <f>IF(表格1[[#This Row],[B/H/S]]="B", -表格1[[#This Row],[最高]], IF(表格1[[#This Row],[B/H/S]]="S",表格1[[#This Row],[最低]],""))</f>
        <v/>
      </c>
      <c r="K48" s="1" t="str">
        <f>IF(表格1[[#This Row],[買入/賣出價格]]&lt;&gt;"",ABS(表格1[[#This Row],[買入/賣出價格]]),"")</f>
        <v/>
      </c>
    </row>
    <row r="49" spans="1:11" x14ac:dyDescent="0.4">
      <c r="A49" s="3">
        <v>42971</v>
      </c>
      <c r="B49" s="1">
        <v>27642.23</v>
      </c>
      <c r="C49" s="1">
        <v>27642.23</v>
      </c>
      <c r="D49" s="1">
        <v>27485.87</v>
      </c>
      <c r="E49" s="1">
        <v>27518.6</v>
      </c>
      <c r="F49" s="1">
        <v>27518.6</v>
      </c>
      <c r="G49" s="2">
        <v>2691510500</v>
      </c>
      <c r="H49" s="1">
        <v>27086.43</v>
      </c>
      <c r="I49" s="1" t="s">
        <v>10</v>
      </c>
      <c r="J49" s="1">
        <f>IF(表格1[[#This Row],[B/H/S]]="B", -表格1[[#This Row],[最高]], IF(表格1[[#This Row],[B/H/S]]="S",表格1[[#This Row],[最低]],""))</f>
        <v>-27642.23</v>
      </c>
      <c r="K49" s="1">
        <f>IF(表格1[[#This Row],[買入/賣出價格]]&lt;&gt;"",ABS(表格1[[#This Row],[買入/賣出價格]]),"")</f>
        <v>27642.23</v>
      </c>
    </row>
    <row r="50" spans="1:11" x14ac:dyDescent="0.4">
      <c r="A50" s="3">
        <v>42972</v>
      </c>
      <c r="B50" s="1">
        <v>27539.11</v>
      </c>
      <c r="C50" s="1">
        <v>27878.37</v>
      </c>
      <c r="D50" s="1">
        <v>27480.11</v>
      </c>
      <c r="E50" s="1">
        <v>27848.16</v>
      </c>
      <c r="F50" s="1">
        <v>27848.16</v>
      </c>
      <c r="G50" s="2">
        <v>3791271400</v>
      </c>
      <c r="H50" s="1">
        <v>27097.546000000002</v>
      </c>
      <c r="I50" s="1" t="s">
        <v>9</v>
      </c>
      <c r="J50" s="1" t="str">
        <f>IF(表格1[[#This Row],[B/H/S]]="B", -表格1[[#This Row],[最高]], IF(表格1[[#This Row],[B/H/S]]="S",表格1[[#This Row],[最低]],""))</f>
        <v/>
      </c>
      <c r="K50" s="1" t="str">
        <f>IF(表格1[[#This Row],[買入/賣出價格]]&lt;&gt;"",ABS(表格1[[#This Row],[買入/賣出價格]]),"")</f>
        <v/>
      </c>
    </row>
    <row r="51" spans="1:11" x14ac:dyDescent="0.4">
      <c r="A51" s="3">
        <v>42975</v>
      </c>
      <c r="B51" s="1">
        <v>27905.59</v>
      </c>
      <c r="C51" s="1">
        <v>28071.59</v>
      </c>
      <c r="D51" s="1">
        <v>27806.05</v>
      </c>
      <c r="E51" s="1">
        <v>27863.29</v>
      </c>
      <c r="F51" s="1">
        <v>27863.29</v>
      </c>
      <c r="G51" s="2">
        <v>3019391000</v>
      </c>
      <c r="H51" s="1">
        <v>27128.778960000003</v>
      </c>
      <c r="I51" s="1" t="s">
        <v>9</v>
      </c>
      <c r="J51" s="1" t="str">
        <f>IF(表格1[[#This Row],[B/H/S]]="B", -表格1[[#This Row],[最高]], IF(表格1[[#This Row],[B/H/S]]="S",表格1[[#This Row],[最低]],""))</f>
        <v/>
      </c>
      <c r="K51" s="1" t="str">
        <f>IF(表格1[[#This Row],[買入/賣出價格]]&lt;&gt;"",ABS(表格1[[#This Row],[買入/賣出價格]]),"")</f>
        <v/>
      </c>
    </row>
    <row r="52" spans="1:11" x14ac:dyDescent="0.4">
      <c r="A52" s="3">
        <v>42976</v>
      </c>
      <c r="B52" s="1">
        <v>27744.58</v>
      </c>
      <c r="C52" s="1">
        <v>27839.83</v>
      </c>
      <c r="D52" s="1">
        <v>27638.73</v>
      </c>
      <c r="E52" s="1">
        <v>27765.01</v>
      </c>
      <c r="F52" s="1">
        <v>27765.01</v>
      </c>
      <c r="G52" s="2">
        <v>1717761500</v>
      </c>
      <c r="H52" s="1">
        <v>27185.347622400004</v>
      </c>
      <c r="I52" s="1" t="s">
        <v>9</v>
      </c>
      <c r="J52" s="1" t="str">
        <f>IF(表格1[[#This Row],[B/H/S]]="B", -表格1[[#This Row],[最高]], IF(表格1[[#This Row],[B/H/S]]="S",表格1[[#This Row],[最低]],""))</f>
        <v/>
      </c>
      <c r="K52" s="1" t="str">
        <f>IF(表格1[[#This Row],[買入/賣出價格]]&lt;&gt;"",ABS(表格1[[#This Row],[買入/賣出價格]]),"")</f>
        <v/>
      </c>
    </row>
    <row r="53" spans="1:11" x14ac:dyDescent="0.4">
      <c r="A53" s="3">
        <v>42977</v>
      </c>
      <c r="B53" s="1">
        <v>27957.74</v>
      </c>
      <c r="C53" s="1">
        <v>28127.9</v>
      </c>
      <c r="D53" s="1">
        <v>27912.82</v>
      </c>
      <c r="E53" s="1">
        <v>28094.61</v>
      </c>
      <c r="F53" s="1">
        <v>28094.61</v>
      </c>
      <c r="G53" s="2">
        <v>2142434100</v>
      </c>
      <c r="H53" s="1">
        <v>27238.522165056005</v>
      </c>
      <c r="I53" s="1" t="s">
        <v>9</v>
      </c>
      <c r="J53" s="1" t="str">
        <f>IF(表格1[[#This Row],[B/H/S]]="B", -表格1[[#This Row],[最高]], IF(表格1[[#This Row],[B/H/S]]="S",表格1[[#This Row],[最低]],""))</f>
        <v/>
      </c>
      <c r="K53" s="1" t="str">
        <f>IF(表格1[[#This Row],[買入/賣出價格]]&lt;&gt;"",ABS(表格1[[#This Row],[買入/賣出價格]]),"")</f>
        <v/>
      </c>
    </row>
    <row r="54" spans="1:11" x14ac:dyDescent="0.4">
      <c r="A54" s="3">
        <v>42978</v>
      </c>
      <c r="B54" s="1">
        <v>27934.45</v>
      </c>
      <c r="C54" s="1">
        <v>27994.06</v>
      </c>
      <c r="D54" s="1">
        <v>27861.48</v>
      </c>
      <c r="E54" s="1">
        <v>27970.3</v>
      </c>
      <c r="F54" s="1">
        <v>27970.3</v>
      </c>
      <c r="G54" s="2">
        <v>2795558800</v>
      </c>
      <c r="H54" s="1">
        <v>27309.672391851524</v>
      </c>
      <c r="I54" s="1" t="s">
        <v>9</v>
      </c>
      <c r="J54" s="1" t="str">
        <f>IF(表格1[[#This Row],[B/H/S]]="B", -表格1[[#This Row],[最高]], IF(表格1[[#This Row],[B/H/S]]="S",表格1[[#This Row],[最低]],""))</f>
        <v/>
      </c>
      <c r="K54" s="1" t="str">
        <f>IF(表格1[[#This Row],[買入/賣出價格]]&lt;&gt;"",ABS(表格1[[#This Row],[買入/賣出價格]]),"")</f>
        <v/>
      </c>
    </row>
    <row r="55" spans="1:11" x14ac:dyDescent="0.4">
      <c r="A55" s="3">
        <v>42979</v>
      </c>
      <c r="B55" s="1">
        <v>28015.22</v>
      </c>
      <c r="C55" s="1">
        <v>28116.7</v>
      </c>
      <c r="D55" s="1">
        <v>27915.439999999999</v>
      </c>
      <c r="E55" s="1">
        <v>27953.16</v>
      </c>
      <c r="F55" s="1">
        <v>27953.16</v>
      </c>
      <c r="G55" s="2">
        <v>1754523000</v>
      </c>
      <c r="H55" s="1">
        <v>27375.130600503402</v>
      </c>
      <c r="I55" s="1" t="s">
        <v>9</v>
      </c>
      <c r="J55" s="1" t="str">
        <f>IF(表格1[[#This Row],[B/H/S]]="B", -表格1[[#This Row],[最高]], IF(表格1[[#This Row],[B/H/S]]="S",表格1[[#This Row],[最低]],""))</f>
        <v/>
      </c>
      <c r="K55" s="1" t="str">
        <f>IF(表格1[[#This Row],[買入/賣出價格]]&lt;&gt;"",ABS(表格1[[#This Row],[買入/賣出價格]]),"")</f>
        <v/>
      </c>
    </row>
    <row r="56" spans="1:11" x14ac:dyDescent="0.4">
      <c r="A56" s="3">
        <v>42982</v>
      </c>
      <c r="B56" s="1">
        <v>27881.71</v>
      </c>
      <c r="C56" s="1">
        <v>27884.46</v>
      </c>
      <c r="D56" s="1">
        <v>27662.29</v>
      </c>
      <c r="E56" s="1">
        <v>27740.26</v>
      </c>
      <c r="F56" s="1">
        <v>27740.26</v>
      </c>
      <c r="G56" s="2">
        <v>1626723800</v>
      </c>
      <c r="H56" s="1">
        <v>27435.352152463129</v>
      </c>
      <c r="I56" s="1" t="s">
        <v>9</v>
      </c>
      <c r="J56" s="1" t="str">
        <f>IF(表格1[[#This Row],[B/H/S]]="B", -表格1[[#This Row],[最高]], IF(表格1[[#This Row],[B/H/S]]="S",表格1[[#This Row],[最低]],""))</f>
        <v/>
      </c>
      <c r="K56" s="1" t="str">
        <f>IF(表格1[[#This Row],[買入/賣出價格]]&lt;&gt;"",ABS(表格1[[#This Row],[買入/賣出價格]]),"")</f>
        <v/>
      </c>
    </row>
    <row r="57" spans="1:11" x14ac:dyDescent="0.4">
      <c r="A57" s="3">
        <v>42983</v>
      </c>
      <c r="B57" s="1">
        <v>27797.439999999999</v>
      </c>
      <c r="C57" s="1">
        <v>27871.759999999998</v>
      </c>
      <c r="D57" s="1">
        <v>27685.3</v>
      </c>
      <c r="E57" s="1">
        <v>27741.35</v>
      </c>
      <c r="F57" s="1">
        <v>27741.35</v>
      </c>
      <c r="G57" s="2">
        <v>1237100600</v>
      </c>
      <c r="H57" s="1">
        <v>27490.75598026608</v>
      </c>
      <c r="I57" s="1" t="s">
        <v>9</v>
      </c>
      <c r="J57" s="1" t="str">
        <f>IF(表格1[[#This Row],[B/H/S]]="B", -表格1[[#This Row],[最高]], IF(表格1[[#This Row],[B/H/S]]="S",表格1[[#This Row],[最低]],""))</f>
        <v/>
      </c>
      <c r="K57" s="1" t="str">
        <f>IF(表格1[[#This Row],[買入/賣出價格]]&lt;&gt;"",ABS(表格1[[#This Row],[買入/賣出價格]]),"")</f>
        <v/>
      </c>
    </row>
    <row r="58" spans="1:11" x14ac:dyDescent="0.4">
      <c r="A58" s="3">
        <v>42984</v>
      </c>
      <c r="B58" s="1">
        <v>27671.56</v>
      </c>
      <c r="C58" s="1">
        <v>27684.26</v>
      </c>
      <c r="D58" s="1">
        <v>27421.79</v>
      </c>
      <c r="E58" s="1">
        <v>27613.759999999998</v>
      </c>
      <c r="F58" s="1">
        <v>27613.759999999998</v>
      </c>
      <c r="G58" s="2">
        <v>1666660000</v>
      </c>
      <c r="H58" s="1">
        <v>27884.46</v>
      </c>
      <c r="I58" s="1" t="s">
        <v>11</v>
      </c>
      <c r="J58" s="1">
        <f>IF(表格1[[#This Row],[B/H/S]]="B", -表格1[[#This Row],[最高]], IF(表格1[[#This Row],[B/H/S]]="S",表格1[[#This Row],[最低]],""))</f>
        <v>27421.79</v>
      </c>
      <c r="K58" s="1">
        <f>IF(表格1[[#This Row],[買入/賣出價格]]&lt;&gt;"",ABS(表格1[[#This Row],[買入/賣出價格]]),"")</f>
        <v>27421.79</v>
      </c>
    </row>
    <row r="59" spans="1:11" x14ac:dyDescent="0.4">
      <c r="A59" s="3">
        <v>42985</v>
      </c>
      <c r="B59" s="1">
        <v>27817.87</v>
      </c>
      <c r="C59" s="1">
        <v>27817.87</v>
      </c>
      <c r="D59" s="1">
        <v>27492.82</v>
      </c>
      <c r="E59" s="1">
        <v>27522.92</v>
      </c>
      <c r="F59" s="1">
        <v>27522.92</v>
      </c>
      <c r="G59" s="2">
        <v>1779146800</v>
      </c>
      <c r="H59" s="1">
        <v>27875.206599999998</v>
      </c>
      <c r="I59" s="1" t="s">
        <v>9</v>
      </c>
      <c r="J59" s="1" t="str">
        <f>IF(表格1[[#This Row],[B/H/S]]="B", -表格1[[#This Row],[最高]], IF(表格1[[#This Row],[B/H/S]]="S",表格1[[#This Row],[最低]],""))</f>
        <v/>
      </c>
      <c r="K59" s="1" t="str">
        <f>IF(表格1[[#This Row],[買入/賣出價格]]&lt;&gt;"",ABS(表格1[[#This Row],[買入/賣出價格]]),"")</f>
        <v/>
      </c>
    </row>
    <row r="60" spans="1:11" x14ac:dyDescent="0.4">
      <c r="A60" s="3">
        <v>42986</v>
      </c>
      <c r="B60" s="1">
        <v>27571.59</v>
      </c>
      <c r="C60" s="1">
        <v>27708.09</v>
      </c>
      <c r="D60" s="1">
        <v>27569.13</v>
      </c>
      <c r="E60" s="1">
        <v>27668.47</v>
      </c>
      <c r="F60" s="1">
        <v>27668.47</v>
      </c>
      <c r="G60" s="2">
        <v>1416125500</v>
      </c>
      <c r="H60" s="1">
        <v>27866.138267999999</v>
      </c>
      <c r="I60" s="1" t="s">
        <v>9</v>
      </c>
      <c r="J60" s="1" t="str">
        <f>IF(表格1[[#This Row],[B/H/S]]="B", -表格1[[#This Row],[最高]], IF(表格1[[#This Row],[B/H/S]]="S",表格1[[#This Row],[最低]],""))</f>
        <v/>
      </c>
      <c r="K60" s="1" t="str">
        <f>IF(表格1[[#This Row],[買入/賣出價格]]&lt;&gt;"",ABS(表格1[[#This Row],[買入/賣出價格]]),"")</f>
        <v/>
      </c>
    </row>
    <row r="61" spans="1:11" x14ac:dyDescent="0.4">
      <c r="A61" s="3">
        <v>42989</v>
      </c>
      <c r="B61" s="1">
        <v>27877.69</v>
      </c>
      <c r="C61" s="1">
        <v>27976.98</v>
      </c>
      <c r="D61" s="1">
        <v>27859</v>
      </c>
      <c r="E61" s="1">
        <v>27955.13</v>
      </c>
      <c r="F61" s="1">
        <v>27955.13</v>
      </c>
      <c r="G61" s="2">
        <v>1381742800</v>
      </c>
      <c r="H61" s="1">
        <v>27492.82</v>
      </c>
      <c r="I61" s="1" t="s">
        <v>10</v>
      </c>
      <c r="J61" s="1">
        <f>IF(表格1[[#This Row],[B/H/S]]="B", -表格1[[#This Row],[最高]], IF(表格1[[#This Row],[B/H/S]]="S",表格1[[#This Row],[最低]],""))</f>
        <v>-27976.98</v>
      </c>
      <c r="K61" s="1">
        <f>IF(表格1[[#This Row],[買入/賣出價格]]&lt;&gt;"",ABS(表格1[[#This Row],[買入/賣出價格]]),"")</f>
        <v>27976.98</v>
      </c>
    </row>
    <row r="62" spans="1:11" x14ac:dyDescent="0.4">
      <c r="A62" s="3">
        <v>42990</v>
      </c>
      <c r="B62" s="1">
        <v>28068.7</v>
      </c>
      <c r="C62" s="1">
        <v>28071.54</v>
      </c>
      <c r="D62" s="1">
        <v>27883.83</v>
      </c>
      <c r="E62" s="1">
        <v>27972.240000000002</v>
      </c>
      <c r="F62" s="1">
        <v>27972.240000000002</v>
      </c>
      <c r="G62" s="2">
        <v>1313208800</v>
      </c>
      <c r="H62" s="1">
        <v>27502.503199999999</v>
      </c>
      <c r="I62" s="1" t="s">
        <v>9</v>
      </c>
      <c r="J62" s="1" t="str">
        <f>IF(表格1[[#This Row],[B/H/S]]="B", -表格1[[#This Row],[最高]], IF(表格1[[#This Row],[B/H/S]]="S",表格1[[#This Row],[最低]],""))</f>
        <v/>
      </c>
      <c r="K62" s="1" t="str">
        <f>IF(表格1[[#This Row],[買入/賣出價格]]&lt;&gt;"",ABS(表格1[[#This Row],[買入/賣出價格]]),"")</f>
        <v/>
      </c>
    </row>
    <row r="63" spans="1:11" x14ac:dyDescent="0.4">
      <c r="A63" s="3">
        <v>42991</v>
      </c>
      <c r="B63" s="1">
        <v>27984.27</v>
      </c>
      <c r="C63" s="1">
        <v>27984.27</v>
      </c>
      <c r="D63" s="1">
        <v>27751.279999999999</v>
      </c>
      <c r="E63" s="1">
        <v>27894.080000000002</v>
      </c>
      <c r="F63" s="1">
        <v>27894.080000000002</v>
      </c>
      <c r="G63" s="2">
        <v>1437295600</v>
      </c>
      <c r="H63" s="1">
        <v>27525.264671999998</v>
      </c>
      <c r="I63" s="1" t="s">
        <v>9</v>
      </c>
      <c r="J63" s="1" t="str">
        <f>IF(表格1[[#This Row],[B/H/S]]="B", -表格1[[#This Row],[最高]], IF(表格1[[#This Row],[B/H/S]]="S",表格1[[#This Row],[最低]],""))</f>
        <v/>
      </c>
      <c r="K63" s="1" t="str">
        <f>IF(表格1[[#This Row],[買入/賣出價格]]&lt;&gt;"",ABS(表格1[[#This Row],[買入/賣出價格]]),"")</f>
        <v/>
      </c>
    </row>
    <row r="64" spans="1:11" x14ac:dyDescent="0.4">
      <c r="A64" s="3">
        <v>42992</v>
      </c>
      <c r="B64" s="1">
        <v>27788.84</v>
      </c>
      <c r="C64" s="1">
        <v>27895.07</v>
      </c>
      <c r="D64" s="1">
        <v>27699.09</v>
      </c>
      <c r="E64" s="1">
        <v>27777.200000000001</v>
      </c>
      <c r="F64" s="1">
        <v>27777.200000000001</v>
      </c>
      <c r="G64" s="2">
        <v>1650316300</v>
      </c>
      <c r="H64" s="1">
        <v>27547.115685119999</v>
      </c>
      <c r="I64" s="1" t="s">
        <v>9</v>
      </c>
      <c r="J64" s="1" t="str">
        <f>IF(表格1[[#This Row],[B/H/S]]="B", -表格1[[#This Row],[最高]], IF(表格1[[#This Row],[B/H/S]]="S",表格1[[#This Row],[最低]],""))</f>
        <v/>
      </c>
      <c r="K64" s="1" t="str">
        <f>IF(表格1[[#This Row],[買入/賣出價格]]&lt;&gt;"",ABS(表格1[[#This Row],[買入/賣出價格]]),"")</f>
        <v/>
      </c>
    </row>
    <row r="65" spans="1:11" x14ac:dyDescent="0.4">
      <c r="A65" s="3">
        <v>42993</v>
      </c>
      <c r="B65" s="1">
        <v>27736.6</v>
      </c>
      <c r="C65" s="1">
        <v>27893.58</v>
      </c>
      <c r="D65" s="1">
        <v>27514.04</v>
      </c>
      <c r="E65" s="1">
        <v>27807.59</v>
      </c>
      <c r="F65" s="1">
        <v>27807.59</v>
      </c>
      <c r="G65" s="2">
        <v>2164173900</v>
      </c>
      <c r="H65" s="1">
        <v>27984.27</v>
      </c>
      <c r="I65" s="1" t="s">
        <v>11</v>
      </c>
      <c r="J65" s="1">
        <f>IF(表格1[[#This Row],[B/H/S]]="B", -表格1[[#This Row],[最高]], IF(表格1[[#This Row],[B/H/S]]="S",表格1[[#This Row],[最低]],""))</f>
        <v>27514.04</v>
      </c>
      <c r="K65" s="1">
        <f>IF(表格1[[#This Row],[買入/賣出價格]]&lt;&gt;"",ABS(表格1[[#This Row],[買入/賣出價格]]),"")</f>
        <v>27514.04</v>
      </c>
    </row>
    <row r="66" spans="1:11" x14ac:dyDescent="0.4">
      <c r="A66" s="3">
        <v>42996</v>
      </c>
      <c r="B66" s="1">
        <v>27971.37</v>
      </c>
      <c r="C66" s="1">
        <v>28160.39</v>
      </c>
      <c r="D66" s="1">
        <v>27917.18</v>
      </c>
      <c r="E66" s="1">
        <v>28159.77</v>
      </c>
      <c r="F66" s="1">
        <v>28159.77</v>
      </c>
      <c r="G66" s="2">
        <v>1546268100</v>
      </c>
      <c r="H66" s="1">
        <v>27514.04</v>
      </c>
      <c r="I66" s="1" t="s">
        <v>10</v>
      </c>
      <c r="J66" s="1">
        <f>IF(表格1[[#This Row],[B/H/S]]="B", -表格1[[#This Row],[最高]], IF(表格1[[#This Row],[B/H/S]]="S",表格1[[#This Row],[最低]],""))</f>
        <v>-28160.39</v>
      </c>
      <c r="K66" s="1">
        <f>IF(表格1[[#This Row],[買入/賣出價格]]&lt;&gt;"",ABS(表格1[[#This Row],[買入/賣出價格]]),"")</f>
        <v>28160.39</v>
      </c>
    </row>
    <row r="67" spans="1:11" x14ac:dyDescent="0.4">
      <c r="A67" s="3">
        <v>42997</v>
      </c>
      <c r="B67" s="1">
        <v>28200.54</v>
      </c>
      <c r="C67" s="1">
        <v>28248.12</v>
      </c>
      <c r="D67" s="1">
        <v>28032.17</v>
      </c>
      <c r="E67" s="1">
        <v>28051.41</v>
      </c>
      <c r="F67" s="1">
        <v>28051.41</v>
      </c>
      <c r="G67" s="2">
        <v>1601237600</v>
      </c>
      <c r="H67" s="1">
        <v>27514.04</v>
      </c>
      <c r="I67" s="1" t="s">
        <v>9</v>
      </c>
      <c r="J67" s="1" t="str">
        <f>IF(表格1[[#This Row],[B/H/S]]="B", -表格1[[#This Row],[最高]], IF(表格1[[#This Row],[B/H/S]]="S",表格1[[#This Row],[最低]],""))</f>
        <v/>
      </c>
      <c r="K67" s="1" t="str">
        <f>IF(表格1[[#This Row],[買入/賣出價格]]&lt;&gt;"",ABS(表格1[[#This Row],[買入/賣出價格]]),"")</f>
        <v/>
      </c>
    </row>
    <row r="68" spans="1:11" x14ac:dyDescent="0.4">
      <c r="A68" s="3">
        <v>42998</v>
      </c>
      <c r="B68" s="1">
        <v>28099.29</v>
      </c>
      <c r="C68" s="1">
        <v>28149.360000000001</v>
      </c>
      <c r="D68" s="1">
        <v>28013.11</v>
      </c>
      <c r="E68" s="1">
        <v>28127.8</v>
      </c>
      <c r="F68" s="1">
        <v>28127.8</v>
      </c>
      <c r="G68" s="2">
        <v>1496733100</v>
      </c>
      <c r="H68" s="1">
        <v>27543.403200000001</v>
      </c>
      <c r="I68" s="1" t="s">
        <v>9</v>
      </c>
      <c r="J68" s="1" t="str">
        <f>IF(表格1[[#This Row],[B/H/S]]="B", -表格1[[#This Row],[最高]], IF(表格1[[#This Row],[B/H/S]]="S",表格1[[#This Row],[最低]],""))</f>
        <v/>
      </c>
      <c r="K68" s="1" t="str">
        <f>IF(表格1[[#This Row],[買入/賣出價格]]&lt;&gt;"",ABS(表格1[[#This Row],[買入/賣出價格]]),"")</f>
        <v/>
      </c>
    </row>
    <row r="69" spans="1:11" x14ac:dyDescent="0.4">
      <c r="A69" s="3">
        <v>42999</v>
      </c>
      <c r="B69" s="1">
        <v>28091.24</v>
      </c>
      <c r="C69" s="1">
        <v>28184.37</v>
      </c>
      <c r="D69" s="1">
        <v>28046.94</v>
      </c>
      <c r="E69" s="1">
        <v>28110.33</v>
      </c>
      <c r="F69" s="1">
        <v>28110.33</v>
      </c>
      <c r="G69" s="2">
        <v>1625346200</v>
      </c>
      <c r="H69" s="1">
        <v>27571.591872000001</v>
      </c>
      <c r="I69" s="1" t="s">
        <v>9</v>
      </c>
      <c r="J69" s="1" t="str">
        <f>IF(表格1[[#This Row],[B/H/S]]="B", -表格1[[#This Row],[最高]], IF(表格1[[#This Row],[B/H/S]]="S",表格1[[#This Row],[最低]],""))</f>
        <v/>
      </c>
      <c r="K69" s="1" t="str">
        <f>IF(表格1[[#This Row],[買入/賣出價格]]&lt;&gt;"",ABS(表格1[[#This Row],[買入/賣出價格]]),"")</f>
        <v/>
      </c>
    </row>
    <row r="70" spans="1:11" x14ac:dyDescent="0.4">
      <c r="A70" s="3">
        <v>43000</v>
      </c>
      <c r="B70" s="1">
        <v>27949.83</v>
      </c>
      <c r="C70" s="1">
        <v>27960.92</v>
      </c>
      <c r="D70" s="1">
        <v>27845.52</v>
      </c>
      <c r="E70" s="1">
        <v>27880.53</v>
      </c>
      <c r="F70" s="1">
        <v>27880.53</v>
      </c>
      <c r="G70" s="2">
        <v>1379309700</v>
      </c>
      <c r="H70" s="1">
        <v>27598.65299712</v>
      </c>
      <c r="I70" s="1" t="s">
        <v>9</v>
      </c>
      <c r="J70" s="1" t="str">
        <f>IF(表格1[[#This Row],[B/H/S]]="B", -表格1[[#This Row],[最高]], IF(表格1[[#This Row],[B/H/S]]="S",表格1[[#This Row],[最低]],""))</f>
        <v/>
      </c>
      <c r="K70" s="1" t="str">
        <f>IF(表格1[[#This Row],[買入/賣出價格]]&lt;&gt;"",ABS(表格1[[#This Row],[買入/賣出價格]]),"")</f>
        <v/>
      </c>
    </row>
    <row r="71" spans="1:11" x14ac:dyDescent="0.4">
      <c r="A71" s="3">
        <v>43003</v>
      </c>
      <c r="B71" s="1">
        <v>27851.54</v>
      </c>
      <c r="C71" s="1">
        <v>27851.54</v>
      </c>
      <c r="D71" s="1">
        <v>27476.27</v>
      </c>
      <c r="E71" s="1">
        <v>27500.34</v>
      </c>
      <c r="F71" s="1">
        <v>27500.34</v>
      </c>
      <c r="G71" s="2">
        <v>1800222600</v>
      </c>
      <c r="H71" s="1">
        <v>28184.37</v>
      </c>
      <c r="I71" s="1" t="s">
        <v>11</v>
      </c>
      <c r="J71" s="1">
        <f>IF(表格1[[#This Row],[B/H/S]]="B", -表格1[[#This Row],[最高]], IF(表格1[[#This Row],[B/H/S]]="S",表格1[[#This Row],[最低]],""))</f>
        <v>27476.27</v>
      </c>
      <c r="K71" s="1">
        <f>IF(表格1[[#This Row],[買入/賣出價格]]&lt;&gt;"",ABS(表格1[[#This Row],[買入/賣出價格]]),"")</f>
        <v>27476.27</v>
      </c>
    </row>
    <row r="72" spans="1:11" x14ac:dyDescent="0.4">
      <c r="A72" s="3">
        <v>43004</v>
      </c>
      <c r="B72" s="1">
        <v>27308.61</v>
      </c>
      <c r="C72" s="1">
        <v>27567.88</v>
      </c>
      <c r="D72" s="1">
        <v>27300.37</v>
      </c>
      <c r="E72" s="1">
        <v>27513.01</v>
      </c>
      <c r="F72" s="1">
        <v>27513.01</v>
      </c>
      <c r="G72" s="2">
        <v>1683566500</v>
      </c>
      <c r="H72" s="1">
        <v>28170.207999999999</v>
      </c>
      <c r="I72" s="1" t="s">
        <v>9</v>
      </c>
      <c r="J72" s="1" t="str">
        <f>IF(表格1[[#This Row],[B/H/S]]="B", -表格1[[#This Row],[最高]], IF(表格1[[#This Row],[B/H/S]]="S",表格1[[#This Row],[最低]],""))</f>
        <v/>
      </c>
      <c r="K72" s="1" t="str">
        <f>IF(表格1[[#This Row],[買入/賣出價格]]&lt;&gt;"",ABS(表格1[[#This Row],[買入/賣出價格]]),"")</f>
        <v/>
      </c>
    </row>
    <row r="73" spans="1:11" x14ac:dyDescent="0.4">
      <c r="A73" s="3">
        <v>43005</v>
      </c>
      <c r="B73" s="1">
        <v>27503.05</v>
      </c>
      <c r="C73" s="1">
        <v>27673.4</v>
      </c>
      <c r="D73" s="1">
        <v>27503.05</v>
      </c>
      <c r="E73" s="1">
        <v>27642.43</v>
      </c>
      <c r="F73" s="1">
        <v>27642.43</v>
      </c>
      <c r="G73" s="2">
        <v>1812425000</v>
      </c>
      <c r="H73" s="1">
        <v>28135.414479999999</v>
      </c>
      <c r="I73" s="1" t="s">
        <v>9</v>
      </c>
      <c r="J73" s="1" t="str">
        <f>IF(表格1[[#This Row],[B/H/S]]="B", -表格1[[#This Row],[最高]], IF(表格1[[#This Row],[B/H/S]]="S",表格1[[#This Row],[最低]],""))</f>
        <v/>
      </c>
      <c r="K73" s="1" t="str">
        <f>IF(表格1[[#This Row],[買入/賣出價格]]&lt;&gt;"",ABS(表格1[[#This Row],[買入/賣出價格]]),"")</f>
        <v/>
      </c>
    </row>
    <row r="74" spans="1:11" x14ac:dyDescent="0.4">
      <c r="A74" s="3">
        <v>43006</v>
      </c>
      <c r="B74" s="1">
        <v>27661.27</v>
      </c>
      <c r="C74" s="1">
        <v>27665.16</v>
      </c>
      <c r="D74" s="1">
        <v>27421.599999999999</v>
      </c>
      <c r="E74" s="1">
        <v>27421.599999999999</v>
      </c>
      <c r="F74" s="1">
        <v>27421.599999999999</v>
      </c>
      <c r="G74" s="2">
        <v>1968973700</v>
      </c>
      <c r="H74" s="1">
        <v>28102.012700799998</v>
      </c>
      <c r="I74" s="1" t="s">
        <v>9</v>
      </c>
      <c r="J74" s="1" t="str">
        <f>IF(表格1[[#This Row],[B/H/S]]="B", -表格1[[#This Row],[最高]], IF(表格1[[#This Row],[B/H/S]]="S",表格1[[#This Row],[最低]],""))</f>
        <v/>
      </c>
      <c r="K74" s="1" t="str">
        <f>IF(表格1[[#This Row],[買入/賣出價格]]&lt;&gt;"",ABS(表格1[[#This Row],[買入/賣出價格]]),"")</f>
        <v/>
      </c>
    </row>
    <row r="75" spans="1:11" x14ac:dyDescent="0.4">
      <c r="A75" s="3">
        <v>43007</v>
      </c>
      <c r="B75" s="1">
        <v>27492.13</v>
      </c>
      <c r="C75" s="1">
        <v>27581.13</v>
      </c>
      <c r="D75" s="1">
        <v>27383.16</v>
      </c>
      <c r="E75" s="1">
        <v>27554.3</v>
      </c>
      <c r="F75" s="1">
        <v>27554.3</v>
      </c>
      <c r="G75" s="2">
        <v>1665527400</v>
      </c>
      <c r="H75" s="1">
        <v>28069.946992767997</v>
      </c>
      <c r="I75" s="1" t="s">
        <v>9</v>
      </c>
      <c r="J75" s="1" t="str">
        <f>IF(表格1[[#This Row],[B/H/S]]="B", -表格1[[#This Row],[最高]], IF(表格1[[#This Row],[B/H/S]]="S",表格1[[#This Row],[最低]],""))</f>
        <v/>
      </c>
      <c r="K75" s="1" t="str">
        <f>IF(表格1[[#This Row],[買入/賣出價格]]&lt;&gt;"",ABS(表格1[[#This Row],[買入/賣出價格]]),"")</f>
        <v/>
      </c>
    </row>
    <row r="76" spans="1:11" x14ac:dyDescent="0.4">
      <c r="A76" s="3">
        <v>43011</v>
      </c>
      <c r="B76" s="1">
        <v>27884.21</v>
      </c>
      <c r="C76" s="1">
        <v>28194.16</v>
      </c>
      <c r="D76" s="1">
        <v>27737.38</v>
      </c>
      <c r="E76" s="1">
        <v>28173.21</v>
      </c>
      <c r="F76" s="1">
        <v>28173.21</v>
      </c>
      <c r="G76" s="2">
        <v>3430577300</v>
      </c>
      <c r="H76" s="1">
        <v>27383.16</v>
      </c>
      <c r="I76" s="1" t="s">
        <v>10</v>
      </c>
      <c r="J76" s="1">
        <f>IF(表格1[[#This Row],[B/H/S]]="B", -表格1[[#This Row],[最高]], IF(表格1[[#This Row],[B/H/S]]="S",表格1[[#This Row],[最低]],""))</f>
        <v>-28194.16</v>
      </c>
      <c r="K76" s="1">
        <f>IF(表格1[[#This Row],[買入/賣出價格]]&lt;&gt;"",ABS(表格1[[#This Row],[買入/賣出價格]]),"")</f>
        <v>28194.16</v>
      </c>
    </row>
    <row r="77" spans="1:11" x14ac:dyDescent="0.4">
      <c r="A77" s="3">
        <v>43012</v>
      </c>
      <c r="B77" s="1">
        <v>28311.27</v>
      </c>
      <c r="C77" s="1">
        <v>28521.77</v>
      </c>
      <c r="D77" s="1">
        <v>28311.27</v>
      </c>
      <c r="E77" s="1">
        <v>28379.18</v>
      </c>
      <c r="F77" s="1">
        <v>28379.18</v>
      </c>
      <c r="G77" s="2">
        <v>2095400500</v>
      </c>
      <c r="H77" s="1">
        <v>27383.16</v>
      </c>
      <c r="I77" s="1" t="s">
        <v>9</v>
      </c>
      <c r="J77" s="1" t="str">
        <f>IF(表格1[[#This Row],[B/H/S]]="B", -表格1[[#This Row],[最高]], IF(表格1[[#This Row],[B/H/S]]="S",表格1[[#This Row],[最低]],""))</f>
        <v/>
      </c>
      <c r="K77" s="1" t="str">
        <f>IF(表格1[[#This Row],[買入/賣出價格]]&lt;&gt;"",ABS(表格1[[#This Row],[買入/賣出價格]]),"")</f>
        <v/>
      </c>
    </row>
    <row r="78" spans="1:11" x14ac:dyDescent="0.4">
      <c r="A78" s="3">
        <v>43014</v>
      </c>
      <c r="B78" s="1">
        <v>28626.41</v>
      </c>
      <c r="C78" s="1">
        <v>28626.41</v>
      </c>
      <c r="D78" s="1">
        <v>28377.85</v>
      </c>
      <c r="E78" s="1">
        <v>28458.04</v>
      </c>
      <c r="F78" s="1">
        <v>28458.04</v>
      </c>
      <c r="G78" s="2">
        <v>1967890900</v>
      </c>
      <c r="H78" s="1">
        <v>27428.704399999999</v>
      </c>
      <c r="I78" s="1" t="s">
        <v>9</v>
      </c>
      <c r="J78" s="1" t="str">
        <f>IF(表格1[[#This Row],[B/H/S]]="B", -表格1[[#This Row],[最高]], IF(表格1[[#This Row],[B/H/S]]="S",表格1[[#This Row],[最低]],""))</f>
        <v/>
      </c>
      <c r="K78" s="1" t="str">
        <f>IF(表格1[[#This Row],[買入/賣出價格]]&lt;&gt;"",ABS(表格1[[#This Row],[買入/賣出價格]]),"")</f>
        <v/>
      </c>
    </row>
    <row r="79" spans="1:11" x14ac:dyDescent="0.4">
      <c r="A79" s="3">
        <v>43017</v>
      </c>
      <c r="B79" s="1">
        <v>28440.17</v>
      </c>
      <c r="C79" s="1">
        <v>28488.35</v>
      </c>
      <c r="D79" s="1">
        <v>28282.01</v>
      </c>
      <c r="E79" s="1">
        <v>28326.59</v>
      </c>
      <c r="F79" s="1">
        <v>28326.59</v>
      </c>
      <c r="G79" s="2">
        <v>1745232800</v>
      </c>
      <c r="H79" s="1">
        <v>27500.566735999997</v>
      </c>
      <c r="I79" s="1" t="s">
        <v>9</v>
      </c>
      <c r="J79" s="1" t="str">
        <f>IF(表格1[[#This Row],[B/H/S]]="B", -表格1[[#This Row],[最高]], IF(表格1[[#This Row],[B/H/S]]="S",表格1[[#This Row],[最低]],""))</f>
        <v/>
      </c>
      <c r="K79" s="1" t="str">
        <f>IF(表格1[[#This Row],[買入/賣出價格]]&lt;&gt;"",ABS(表格1[[#This Row],[買入/賣出價格]]),"")</f>
        <v/>
      </c>
    </row>
    <row r="80" spans="1:11" x14ac:dyDescent="0.4">
      <c r="A80" s="3">
        <v>43018</v>
      </c>
      <c r="B80" s="1">
        <v>28334.92</v>
      </c>
      <c r="C80" s="1">
        <v>28503.84</v>
      </c>
      <c r="D80" s="1">
        <v>28260.2</v>
      </c>
      <c r="E80" s="1">
        <v>28490.83</v>
      </c>
      <c r="F80" s="1">
        <v>28490.83</v>
      </c>
      <c r="G80" s="2">
        <v>1388761700</v>
      </c>
      <c r="H80" s="1">
        <v>27568.117331839996</v>
      </c>
      <c r="I80" s="1" t="s">
        <v>9</v>
      </c>
      <c r="J80" s="1" t="str">
        <f>IF(表格1[[#This Row],[B/H/S]]="B", -表格1[[#This Row],[最高]], IF(表格1[[#This Row],[B/H/S]]="S",表格1[[#This Row],[最低]],""))</f>
        <v/>
      </c>
      <c r="K80" s="1" t="str">
        <f>IF(表格1[[#This Row],[買入/賣出價格]]&lt;&gt;"",ABS(表格1[[#This Row],[買入/賣出價格]]),"")</f>
        <v/>
      </c>
    </row>
    <row r="81" spans="1:11" x14ac:dyDescent="0.4">
      <c r="A81" s="3">
        <v>43019</v>
      </c>
      <c r="B81" s="1">
        <v>28622.01</v>
      </c>
      <c r="C81" s="1">
        <v>28625.66</v>
      </c>
      <c r="D81" s="1">
        <v>28330.73</v>
      </c>
      <c r="E81" s="1">
        <v>28389.57</v>
      </c>
      <c r="F81" s="1">
        <v>28389.57</v>
      </c>
      <c r="G81" s="2">
        <v>1874745400</v>
      </c>
      <c r="H81" s="1">
        <v>27631.614891929596</v>
      </c>
      <c r="I81" s="1" t="s">
        <v>9</v>
      </c>
      <c r="J81" s="1" t="str">
        <f>IF(表格1[[#This Row],[B/H/S]]="B", -表格1[[#This Row],[最高]], IF(表格1[[#This Row],[B/H/S]]="S",表格1[[#This Row],[最低]],""))</f>
        <v/>
      </c>
      <c r="K81" s="1" t="str">
        <f>IF(表格1[[#This Row],[買入/賣出價格]]&lt;&gt;"",ABS(表格1[[#This Row],[買入/賣出價格]]),"")</f>
        <v/>
      </c>
    </row>
    <row r="82" spans="1:11" x14ac:dyDescent="0.4">
      <c r="A82" s="3">
        <v>43020</v>
      </c>
      <c r="B82" s="1">
        <v>28431.05</v>
      </c>
      <c r="C82" s="1">
        <v>28528.71</v>
      </c>
      <c r="D82" s="1">
        <v>28343.32</v>
      </c>
      <c r="E82" s="1">
        <v>28459.03</v>
      </c>
      <c r="F82" s="1">
        <v>28459.03</v>
      </c>
      <c r="G82" s="2">
        <v>1579431600</v>
      </c>
      <c r="H82" s="1">
        <v>27691.302598413818</v>
      </c>
      <c r="I82" s="1" t="s">
        <v>9</v>
      </c>
      <c r="J82" s="1" t="str">
        <f>IF(表格1[[#This Row],[B/H/S]]="B", -表格1[[#This Row],[最高]], IF(表格1[[#This Row],[B/H/S]]="S",表格1[[#This Row],[最低]],""))</f>
        <v/>
      </c>
      <c r="K82" s="1" t="str">
        <f>IF(表格1[[#This Row],[買入/賣出價格]]&lt;&gt;"",ABS(表格1[[#This Row],[買入/賣出價格]]),"")</f>
        <v/>
      </c>
    </row>
    <row r="83" spans="1:11" x14ac:dyDescent="0.4">
      <c r="A83" s="3">
        <v>43021</v>
      </c>
      <c r="B83" s="1">
        <v>28423.65</v>
      </c>
      <c r="C83" s="1">
        <v>28492.39</v>
      </c>
      <c r="D83" s="1">
        <v>28369.87</v>
      </c>
      <c r="E83" s="1">
        <v>28476.43</v>
      </c>
      <c r="F83" s="1">
        <v>28476.43</v>
      </c>
      <c r="G83" s="2">
        <v>1616416300</v>
      </c>
      <c r="H83" s="1">
        <v>27747.409042508989</v>
      </c>
      <c r="I83" s="1" t="s">
        <v>9</v>
      </c>
      <c r="J83" s="1" t="str">
        <f>IF(表格1[[#This Row],[B/H/S]]="B", -表格1[[#This Row],[最高]], IF(表格1[[#This Row],[B/H/S]]="S",表格1[[#This Row],[最低]],""))</f>
        <v/>
      </c>
      <c r="K83" s="1" t="str">
        <f>IF(表格1[[#This Row],[買入/賣出價格]]&lt;&gt;"",ABS(表格1[[#This Row],[買入/賣出價格]]),"")</f>
        <v/>
      </c>
    </row>
    <row r="84" spans="1:11" x14ac:dyDescent="0.4">
      <c r="A84" s="3">
        <v>43024</v>
      </c>
      <c r="B84" s="1">
        <v>28661.98</v>
      </c>
      <c r="C84" s="1">
        <v>28792.06</v>
      </c>
      <c r="D84" s="1">
        <v>28620.38</v>
      </c>
      <c r="E84" s="1">
        <v>28692.799999999999</v>
      </c>
      <c r="F84" s="1">
        <v>28692.799999999999</v>
      </c>
      <c r="G84" s="2">
        <v>1740653100</v>
      </c>
      <c r="H84" s="1">
        <v>27800.149099958449</v>
      </c>
      <c r="I84" s="1" t="s">
        <v>9</v>
      </c>
      <c r="J84" s="1" t="str">
        <f>IF(表格1[[#This Row],[B/H/S]]="B", -表格1[[#This Row],[最高]], IF(表格1[[#This Row],[B/H/S]]="S",表格1[[#This Row],[最低]],""))</f>
        <v/>
      </c>
      <c r="K84" s="1" t="str">
        <f>IF(表格1[[#This Row],[買入/賣出價格]]&lt;&gt;"",ABS(表格1[[#This Row],[買入/賣出價格]]),"")</f>
        <v/>
      </c>
    </row>
    <row r="85" spans="1:11" x14ac:dyDescent="0.4">
      <c r="A85" s="3">
        <v>43025</v>
      </c>
      <c r="B85" s="1">
        <v>28777.18</v>
      </c>
      <c r="C85" s="1">
        <v>28777.18</v>
      </c>
      <c r="D85" s="1">
        <v>28641.95</v>
      </c>
      <c r="E85" s="1">
        <v>28697.49</v>
      </c>
      <c r="F85" s="1">
        <v>28697.49</v>
      </c>
      <c r="G85" s="2">
        <v>1286878300</v>
      </c>
      <c r="H85" s="1">
        <v>27879.501971961774</v>
      </c>
      <c r="I85" s="1" t="s">
        <v>9</v>
      </c>
      <c r="J85" s="1" t="str">
        <f>IF(表格1[[#This Row],[B/H/S]]="B", -表格1[[#This Row],[最高]], IF(表格1[[#This Row],[B/H/S]]="S",表格1[[#This Row],[最低]],""))</f>
        <v/>
      </c>
      <c r="K85" s="1" t="str">
        <f>IF(表格1[[#This Row],[買入/賣出價格]]&lt;&gt;"",ABS(表格1[[#This Row],[買入/賣出價格]]),"")</f>
        <v/>
      </c>
    </row>
    <row r="86" spans="1:11" x14ac:dyDescent="0.4">
      <c r="A86" s="3">
        <v>43026</v>
      </c>
      <c r="B86" s="1">
        <v>28636.2</v>
      </c>
      <c r="C86" s="1">
        <v>28729.34</v>
      </c>
      <c r="D86" s="1">
        <v>28629.73</v>
      </c>
      <c r="E86" s="1">
        <v>28711.759999999998</v>
      </c>
      <c r="F86" s="1">
        <v>28711.759999999998</v>
      </c>
      <c r="G86" s="2">
        <v>1429159000</v>
      </c>
      <c r="H86" s="1">
        <v>27952.506614204831</v>
      </c>
      <c r="I86" s="1" t="s">
        <v>9</v>
      </c>
      <c r="J86" s="1" t="str">
        <f>IF(表格1[[#This Row],[B/H/S]]="B", -表格1[[#This Row],[最高]], IF(表格1[[#This Row],[B/H/S]]="S",表格1[[#This Row],[最低]],""))</f>
        <v/>
      </c>
      <c r="K86" s="1" t="str">
        <f>IF(表格1[[#This Row],[買入/賣出價格]]&lt;&gt;"",ABS(表格1[[#This Row],[買入/賣出價格]]),"")</f>
        <v/>
      </c>
    </row>
    <row r="87" spans="1:11" x14ac:dyDescent="0.4">
      <c r="A87" s="3">
        <v>43027</v>
      </c>
      <c r="B87" s="1">
        <v>28783.85</v>
      </c>
      <c r="C87" s="1">
        <v>28798.78</v>
      </c>
      <c r="D87" s="1">
        <v>28094.54</v>
      </c>
      <c r="E87" s="1">
        <v>28159.09</v>
      </c>
      <c r="F87" s="1">
        <v>28159.09</v>
      </c>
      <c r="G87" s="2">
        <v>2125428600</v>
      </c>
      <c r="H87" s="1">
        <v>28019.670885068444</v>
      </c>
      <c r="I87" s="1" t="s">
        <v>9</v>
      </c>
      <c r="J87" s="1" t="str">
        <f>IF(表格1[[#This Row],[B/H/S]]="B", -表格1[[#This Row],[最高]], IF(表格1[[#This Row],[B/H/S]]="S",表格1[[#This Row],[最低]],""))</f>
        <v/>
      </c>
      <c r="K87" s="1" t="str">
        <f>IF(表格1[[#This Row],[買入/賣出價格]]&lt;&gt;"",ABS(表格1[[#This Row],[買入/賣出價格]]),"")</f>
        <v/>
      </c>
    </row>
    <row r="88" spans="1:11" x14ac:dyDescent="0.4">
      <c r="A88" s="3">
        <v>43028</v>
      </c>
      <c r="B88" s="1">
        <v>28360.02</v>
      </c>
      <c r="C88" s="1">
        <v>28519.759999999998</v>
      </c>
      <c r="D88" s="1">
        <v>28313.7</v>
      </c>
      <c r="E88" s="1">
        <v>28487.24</v>
      </c>
      <c r="F88" s="1">
        <v>28487.24</v>
      </c>
      <c r="G88" s="2">
        <v>1493189400</v>
      </c>
      <c r="H88" s="1">
        <v>28094.54</v>
      </c>
      <c r="I88" s="1" t="s">
        <v>9</v>
      </c>
      <c r="J88" s="1" t="str">
        <f>IF(表格1[[#This Row],[B/H/S]]="B", -表格1[[#This Row],[最高]], IF(表格1[[#This Row],[B/H/S]]="S",表格1[[#This Row],[最低]],""))</f>
        <v/>
      </c>
      <c r="K88" s="1" t="str">
        <f>IF(表格1[[#This Row],[買入/賣出價格]]&lt;&gt;"",ABS(表格1[[#This Row],[買入/賣出價格]]),"")</f>
        <v/>
      </c>
    </row>
    <row r="89" spans="1:11" x14ac:dyDescent="0.4">
      <c r="A89" s="3">
        <v>43031</v>
      </c>
      <c r="B89" s="1">
        <v>28557.8</v>
      </c>
      <c r="C89" s="1">
        <v>28557.8</v>
      </c>
      <c r="D89" s="1">
        <v>28253.32</v>
      </c>
      <c r="E89" s="1">
        <v>28305.88</v>
      </c>
      <c r="F89" s="1">
        <v>28305.88</v>
      </c>
      <c r="G89" s="2">
        <v>1712055400</v>
      </c>
      <c r="H89" s="1">
        <v>28094.54</v>
      </c>
      <c r="I89" s="1" t="s">
        <v>9</v>
      </c>
      <c r="J89" s="1" t="str">
        <f>IF(表格1[[#This Row],[B/H/S]]="B", -表格1[[#This Row],[最高]], IF(表格1[[#This Row],[B/H/S]]="S",表格1[[#This Row],[最低]],""))</f>
        <v/>
      </c>
      <c r="K89" s="1" t="str">
        <f>IF(表格1[[#This Row],[買入/賣出價格]]&lt;&gt;"",ABS(表格1[[#This Row],[買入/賣出價格]]),"")</f>
        <v/>
      </c>
    </row>
    <row r="90" spans="1:11" x14ac:dyDescent="0.4">
      <c r="A90" s="3">
        <v>43032</v>
      </c>
      <c r="B90" s="1">
        <v>28232.62</v>
      </c>
      <c r="C90" s="1">
        <v>28356.1</v>
      </c>
      <c r="D90" s="1">
        <v>28098.83</v>
      </c>
      <c r="E90" s="1">
        <v>28154.97</v>
      </c>
      <c r="F90" s="1">
        <v>28154.97</v>
      </c>
      <c r="G90" s="2">
        <v>1426893600</v>
      </c>
      <c r="H90" s="1">
        <v>28557.8</v>
      </c>
      <c r="I90" s="1" t="s">
        <v>11</v>
      </c>
      <c r="J90" s="1">
        <f>IF(表格1[[#This Row],[B/H/S]]="B", -表格1[[#This Row],[最高]], IF(表格1[[#This Row],[B/H/S]]="S",表格1[[#This Row],[最低]],""))</f>
        <v>28098.83</v>
      </c>
      <c r="K90" s="1">
        <f>IF(表格1[[#This Row],[買入/賣出價格]]&lt;&gt;"",ABS(表格1[[#This Row],[買入/賣出價格]]),"")</f>
        <v>28098.83</v>
      </c>
    </row>
    <row r="91" spans="1:11" x14ac:dyDescent="0.4">
      <c r="A91" s="3">
        <v>43033</v>
      </c>
      <c r="B91" s="1">
        <v>28238.85</v>
      </c>
      <c r="C91" s="1">
        <v>28387.21</v>
      </c>
      <c r="D91" s="1">
        <v>28198.560000000001</v>
      </c>
      <c r="E91" s="1">
        <v>28302.89</v>
      </c>
      <c r="F91" s="1">
        <v>28302.89</v>
      </c>
      <c r="G91" s="2">
        <v>1272809300</v>
      </c>
      <c r="H91" s="1">
        <v>28557.8</v>
      </c>
      <c r="I91" s="1" t="s">
        <v>9</v>
      </c>
      <c r="J91" s="1" t="str">
        <f>IF(表格1[[#This Row],[B/H/S]]="B", -表格1[[#This Row],[最高]], IF(表格1[[#This Row],[B/H/S]]="S",表格1[[#This Row],[最低]],""))</f>
        <v/>
      </c>
      <c r="K91" s="1" t="str">
        <f>IF(表格1[[#This Row],[買入/賣出價格]]&lt;&gt;"",ABS(表格1[[#This Row],[買入/賣出價格]]),"")</f>
        <v/>
      </c>
    </row>
    <row r="92" spans="1:11" x14ac:dyDescent="0.4">
      <c r="A92" s="3">
        <v>43034</v>
      </c>
      <c r="B92" s="1">
        <v>28165.61</v>
      </c>
      <c r="C92" s="1">
        <v>28316.2</v>
      </c>
      <c r="D92" s="1">
        <v>28102.75</v>
      </c>
      <c r="E92" s="1">
        <v>28202.38</v>
      </c>
      <c r="F92" s="1">
        <v>28202.38</v>
      </c>
      <c r="G92" s="2">
        <v>1431611800</v>
      </c>
      <c r="H92" s="1">
        <v>28548.620599999998</v>
      </c>
      <c r="I92" s="1" t="s">
        <v>9</v>
      </c>
      <c r="J92" s="1" t="str">
        <f>IF(表格1[[#This Row],[B/H/S]]="B", -表格1[[#This Row],[最高]], IF(表格1[[#This Row],[B/H/S]]="S",表格1[[#This Row],[最低]],""))</f>
        <v/>
      </c>
      <c r="K92" s="1" t="str">
        <f>IF(表格1[[#This Row],[買入/賣出價格]]&lt;&gt;"",ABS(表格1[[#This Row],[買入/賣出價格]]),"")</f>
        <v/>
      </c>
    </row>
    <row r="93" spans="1:11" x14ac:dyDescent="0.4">
      <c r="A93" s="3">
        <v>43035</v>
      </c>
      <c r="B93" s="1">
        <v>28332.91</v>
      </c>
      <c r="C93" s="1">
        <v>28494.52</v>
      </c>
      <c r="D93" s="1">
        <v>28305.73</v>
      </c>
      <c r="E93" s="1">
        <v>28438.85</v>
      </c>
      <c r="F93" s="1">
        <v>28438.85</v>
      </c>
      <c r="G93" s="2">
        <v>2255521100</v>
      </c>
      <c r="H93" s="1">
        <v>28539.624787999997</v>
      </c>
      <c r="I93" s="1" t="s">
        <v>9</v>
      </c>
      <c r="J93" s="1" t="str">
        <f>IF(表格1[[#This Row],[B/H/S]]="B", -表格1[[#This Row],[最高]], IF(表格1[[#This Row],[B/H/S]]="S",表格1[[#This Row],[最低]],""))</f>
        <v/>
      </c>
      <c r="K93" s="1" t="str">
        <f>IF(表格1[[#This Row],[買入/賣出價格]]&lt;&gt;"",ABS(表格1[[#This Row],[買入/賣出價格]]),"")</f>
        <v/>
      </c>
    </row>
    <row r="94" spans="1:11" x14ac:dyDescent="0.4">
      <c r="A94" s="3">
        <v>43038</v>
      </c>
      <c r="B94" s="1">
        <v>28585.15</v>
      </c>
      <c r="C94" s="1">
        <v>28650.82</v>
      </c>
      <c r="D94" s="1">
        <v>28336.19</v>
      </c>
      <c r="E94" s="1">
        <v>28336.19</v>
      </c>
      <c r="F94" s="1">
        <v>28336.19</v>
      </c>
      <c r="G94" s="2">
        <v>2133304700</v>
      </c>
      <c r="H94" s="1">
        <v>28102.75</v>
      </c>
      <c r="I94" s="1" t="s">
        <v>10</v>
      </c>
      <c r="J94" s="1">
        <f>IF(表格1[[#This Row],[B/H/S]]="B", -表格1[[#This Row],[最高]], IF(表格1[[#This Row],[B/H/S]]="S",表格1[[#This Row],[最低]],""))</f>
        <v>-28650.82</v>
      </c>
      <c r="K94" s="1">
        <f>IF(表格1[[#This Row],[買入/賣出價格]]&lt;&gt;"",ABS(表格1[[#This Row],[買入/賣出價格]]),"")</f>
        <v>28650.82</v>
      </c>
    </row>
    <row r="95" spans="1:11" x14ac:dyDescent="0.4">
      <c r="A95" s="3">
        <v>43039</v>
      </c>
      <c r="B95" s="1">
        <v>28247</v>
      </c>
      <c r="C95" s="1">
        <v>28354.11</v>
      </c>
      <c r="D95" s="1">
        <v>28183.79</v>
      </c>
      <c r="E95" s="1">
        <v>28245.54</v>
      </c>
      <c r="F95" s="1">
        <v>28245.54</v>
      </c>
      <c r="G95" s="2">
        <v>2447177600</v>
      </c>
      <c r="H95" s="1">
        <v>28113.7114</v>
      </c>
      <c r="I95" s="1" t="s">
        <v>9</v>
      </c>
      <c r="J95" s="1" t="str">
        <f>IF(表格1[[#This Row],[B/H/S]]="B", -表格1[[#This Row],[最高]], IF(表格1[[#This Row],[B/H/S]]="S",表格1[[#This Row],[最低]],""))</f>
        <v/>
      </c>
      <c r="K95" s="1" t="str">
        <f>IF(表格1[[#This Row],[買入/賣出價格]]&lt;&gt;"",ABS(表格1[[#This Row],[買入/賣出價格]]),"")</f>
        <v/>
      </c>
    </row>
    <row r="96" spans="1:11" x14ac:dyDescent="0.4">
      <c r="A96" s="3">
        <v>43040</v>
      </c>
      <c r="B96" s="1">
        <v>28387.55</v>
      </c>
      <c r="C96" s="1">
        <v>28606.59</v>
      </c>
      <c r="D96" s="1">
        <v>28329.5</v>
      </c>
      <c r="E96" s="1">
        <v>28594.06</v>
      </c>
      <c r="F96" s="1">
        <v>28594.06</v>
      </c>
      <c r="G96" s="2">
        <v>2316556900</v>
      </c>
      <c r="H96" s="1">
        <v>28124.453571999999</v>
      </c>
      <c r="I96" s="1" t="s">
        <v>9</v>
      </c>
      <c r="J96" s="1" t="str">
        <f>IF(表格1[[#This Row],[B/H/S]]="B", -表格1[[#This Row],[最高]], IF(表格1[[#This Row],[B/H/S]]="S",表格1[[#This Row],[最低]],""))</f>
        <v/>
      </c>
      <c r="K96" s="1" t="str">
        <f>IF(表格1[[#This Row],[買入/賣出價格]]&lt;&gt;"",ABS(表格1[[#This Row],[買入/賣出價格]]),"")</f>
        <v/>
      </c>
    </row>
    <row r="97" spans="1:11" x14ac:dyDescent="0.4">
      <c r="A97" s="3">
        <v>43041</v>
      </c>
      <c r="B97" s="1">
        <v>28604.95</v>
      </c>
      <c r="C97" s="1">
        <v>28643.58</v>
      </c>
      <c r="D97" s="1">
        <v>28492.2</v>
      </c>
      <c r="E97" s="1">
        <v>28518.639999999999</v>
      </c>
      <c r="F97" s="1">
        <v>28518.639999999999</v>
      </c>
      <c r="G97" s="2">
        <v>2151398900</v>
      </c>
      <c r="H97" s="1">
        <v>28134.98090056</v>
      </c>
      <c r="I97" s="1" t="s">
        <v>9</v>
      </c>
      <c r="J97" s="1" t="str">
        <f>IF(表格1[[#This Row],[B/H/S]]="B", -表格1[[#This Row],[最高]], IF(表格1[[#This Row],[B/H/S]]="S",表格1[[#This Row],[最低]],""))</f>
        <v/>
      </c>
      <c r="K97" s="1" t="str">
        <f>IF(表格1[[#This Row],[買入/賣出價格]]&lt;&gt;"",ABS(表格1[[#This Row],[買入/賣出價格]]),"")</f>
        <v/>
      </c>
    </row>
    <row r="98" spans="1:11" x14ac:dyDescent="0.4">
      <c r="A98" s="3">
        <v>43042</v>
      </c>
      <c r="B98" s="1">
        <v>28603.51</v>
      </c>
      <c r="C98" s="1">
        <v>28661.29</v>
      </c>
      <c r="D98" s="1">
        <v>28542.66</v>
      </c>
      <c r="E98" s="1">
        <v>28603.61</v>
      </c>
      <c r="F98" s="1">
        <v>28603.61</v>
      </c>
      <c r="G98" s="2">
        <v>1576569100</v>
      </c>
      <c r="H98" s="1">
        <v>28145.2976825488</v>
      </c>
      <c r="I98" s="1" t="s">
        <v>9</v>
      </c>
      <c r="J98" s="1" t="str">
        <f>IF(表格1[[#This Row],[B/H/S]]="B", -表格1[[#This Row],[最高]], IF(表格1[[#This Row],[B/H/S]]="S",表格1[[#This Row],[最低]],""))</f>
        <v/>
      </c>
      <c r="K98" s="1" t="str">
        <f>IF(表格1[[#This Row],[買入/賣出價格]]&lt;&gt;"",ABS(表格1[[#This Row],[買入/賣出價格]]),"")</f>
        <v/>
      </c>
    </row>
    <row r="99" spans="1:11" x14ac:dyDescent="0.4">
      <c r="A99" s="3">
        <v>43045</v>
      </c>
      <c r="B99" s="1">
        <v>28616.35</v>
      </c>
      <c r="C99" s="1">
        <v>28650.79</v>
      </c>
      <c r="D99" s="1">
        <v>28137.77</v>
      </c>
      <c r="E99" s="1">
        <v>28596.799999999999</v>
      </c>
      <c r="F99" s="1">
        <v>28596.799999999999</v>
      </c>
      <c r="G99" s="2">
        <v>2260004000</v>
      </c>
      <c r="H99" s="1">
        <v>28661.29</v>
      </c>
      <c r="I99" s="1" t="s">
        <v>11</v>
      </c>
      <c r="J99" s="1">
        <f>IF(表格1[[#This Row],[B/H/S]]="B", -表格1[[#This Row],[最高]], IF(表格1[[#This Row],[B/H/S]]="S",表格1[[#This Row],[最低]],""))</f>
        <v>28137.77</v>
      </c>
      <c r="K99" s="1">
        <f>IF(表格1[[#This Row],[買入/賣出價格]]&lt;&gt;"",ABS(表格1[[#This Row],[買入/賣出價格]]),"")</f>
        <v>28137.77</v>
      </c>
    </row>
    <row r="100" spans="1:11" x14ac:dyDescent="0.4">
      <c r="A100" s="3">
        <v>43046</v>
      </c>
      <c r="B100" s="1">
        <v>28715.4</v>
      </c>
      <c r="C100" s="1">
        <v>29017.4</v>
      </c>
      <c r="D100" s="1">
        <v>28715.07</v>
      </c>
      <c r="E100" s="1">
        <v>28994.34</v>
      </c>
      <c r="F100" s="1">
        <v>28994.34</v>
      </c>
      <c r="G100" s="2">
        <v>2128719800</v>
      </c>
      <c r="H100" s="1">
        <v>28137.77</v>
      </c>
      <c r="I100" s="1" t="s">
        <v>10</v>
      </c>
      <c r="J100" s="1">
        <f>IF(表格1[[#This Row],[B/H/S]]="B", -表格1[[#This Row],[最高]], IF(表格1[[#This Row],[B/H/S]]="S",表格1[[#This Row],[最低]],""))</f>
        <v>-29017.4</v>
      </c>
      <c r="K100" s="1">
        <f>IF(表格1[[#This Row],[買入/賣出價格]]&lt;&gt;"",ABS(表格1[[#This Row],[買入/賣出價格]]),"")</f>
        <v>29017.4</v>
      </c>
    </row>
    <row r="101" spans="1:11" x14ac:dyDescent="0.4">
      <c r="A101" s="3">
        <v>43047</v>
      </c>
      <c r="B101" s="1">
        <v>28950.5</v>
      </c>
      <c r="C101" s="1">
        <v>29123.439999999999</v>
      </c>
      <c r="D101" s="1">
        <v>28885.07</v>
      </c>
      <c r="E101" s="1">
        <v>28907.599999999999</v>
      </c>
      <c r="F101" s="1">
        <v>28907.599999999999</v>
      </c>
      <c r="G101" s="2">
        <v>1831425800</v>
      </c>
      <c r="H101" s="1">
        <v>28137.77</v>
      </c>
      <c r="I101" s="1" t="s">
        <v>9</v>
      </c>
      <c r="J101" s="1" t="str">
        <f>IF(表格1[[#This Row],[B/H/S]]="B", -表格1[[#This Row],[最高]], IF(表格1[[#This Row],[B/H/S]]="S",表格1[[#This Row],[最低]],""))</f>
        <v/>
      </c>
      <c r="K101" s="1" t="str">
        <f>IF(表格1[[#This Row],[買入/賣出價格]]&lt;&gt;"",ABS(表格1[[#This Row],[買入/賣出價格]]),"")</f>
        <v/>
      </c>
    </row>
    <row r="102" spans="1:11" x14ac:dyDescent="0.4">
      <c r="A102" s="3">
        <v>43048</v>
      </c>
      <c r="B102" s="1">
        <v>28987.79</v>
      </c>
      <c r="C102" s="1">
        <v>29192.51</v>
      </c>
      <c r="D102" s="1">
        <v>28960.05</v>
      </c>
      <c r="E102" s="1">
        <v>29136.57</v>
      </c>
      <c r="F102" s="1">
        <v>29136.57</v>
      </c>
      <c r="G102" s="2">
        <v>1822998100</v>
      </c>
      <c r="H102" s="1">
        <v>28177.196800000002</v>
      </c>
      <c r="I102" s="1" t="s">
        <v>9</v>
      </c>
      <c r="J102" s="1" t="str">
        <f>IF(表格1[[#This Row],[B/H/S]]="B", -表格1[[#This Row],[最高]], IF(表格1[[#This Row],[B/H/S]]="S",表格1[[#This Row],[最低]],""))</f>
        <v/>
      </c>
      <c r="K102" s="1" t="str">
        <f>IF(表格1[[#This Row],[買入/賣出價格]]&lt;&gt;"",ABS(表格1[[#This Row],[買入/賣出價格]]),"")</f>
        <v/>
      </c>
    </row>
    <row r="103" spans="1:11" x14ac:dyDescent="0.4">
      <c r="A103" s="3">
        <v>43049</v>
      </c>
      <c r="B103" s="1">
        <v>29060.13</v>
      </c>
      <c r="C103" s="1">
        <v>29237.85</v>
      </c>
      <c r="D103" s="1">
        <v>29036.45</v>
      </c>
      <c r="E103" s="1">
        <v>29120.92</v>
      </c>
      <c r="F103" s="1">
        <v>29120.92</v>
      </c>
      <c r="G103" s="2">
        <v>1781772000</v>
      </c>
      <c r="H103" s="1">
        <v>28238.115592000002</v>
      </c>
      <c r="I103" s="1" t="s">
        <v>9</v>
      </c>
      <c r="J103" s="1" t="str">
        <f>IF(表格1[[#This Row],[B/H/S]]="B", -表格1[[#This Row],[最高]], IF(表格1[[#This Row],[B/H/S]]="S",表格1[[#This Row],[最低]],""))</f>
        <v/>
      </c>
      <c r="K103" s="1" t="str">
        <f>IF(表格1[[#This Row],[買入/賣出價格]]&lt;&gt;"",ABS(表格1[[#This Row],[買入/賣出價格]]),"")</f>
        <v/>
      </c>
    </row>
    <row r="104" spans="1:11" x14ac:dyDescent="0.4">
      <c r="A104" s="3">
        <v>43052</v>
      </c>
      <c r="B104" s="1">
        <v>29058.23</v>
      </c>
      <c r="C104" s="1">
        <v>29258.5</v>
      </c>
      <c r="D104" s="1">
        <v>29058.23</v>
      </c>
      <c r="E104" s="1">
        <v>29182.18</v>
      </c>
      <c r="F104" s="1">
        <v>29182.18</v>
      </c>
      <c r="G104" s="2">
        <v>1786820800</v>
      </c>
      <c r="H104" s="1">
        <v>28318.094344640002</v>
      </c>
      <c r="I104" s="1" t="s">
        <v>9</v>
      </c>
      <c r="J104" s="1" t="str">
        <f>IF(表格1[[#This Row],[B/H/S]]="B", -表格1[[#This Row],[最高]], IF(表格1[[#This Row],[B/H/S]]="S",表格1[[#This Row],[最低]],""))</f>
        <v/>
      </c>
      <c r="K104" s="1" t="str">
        <f>IF(表格1[[#This Row],[買入/賣出價格]]&lt;&gt;"",ABS(表格1[[#This Row],[買入/賣出價格]]),"")</f>
        <v/>
      </c>
    </row>
    <row r="105" spans="1:11" x14ac:dyDescent="0.4">
      <c r="A105" s="3">
        <v>43053</v>
      </c>
      <c r="B105" s="1">
        <v>29272.1</v>
      </c>
      <c r="C105" s="1">
        <v>29320.03</v>
      </c>
      <c r="D105" s="1">
        <v>29143.63</v>
      </c>
      <c r="E105" s="1">
        <v>29152.12</v>
      </c>
      <c r="F105" s="1">
        <v>29152.12</v>
      </c>
      <c r="G105" s="2">
        <v>1697043600</v>
      </c>
      <c r="H105" s="1">
        <v>28412.134910176002</v>
      </c>
      <c r="I105" s="1" t="s">
        <v>9</v>
      </c>
      <c r="J105" s="1" t="str">
        <f>IF(表格1[[#This Row],[B/H/S]]="B", -表格1[[#This Row],[最高]], IF(表格1[[#This Row],[B/H/S]]="S",表格1[[#This Row],[最低]],""))</f>
        <v/>
      </c>
      <c r="K105" s="1" t="str">
        <f>IF(表格1[[#This Row],[買入/賣出價格]]&lt;&gt;"",ABS(表格1[[#This Row],[買入/賣出價格]]),"")</f>
        <v/>
      </c>
    </row>
    <row r="106" spans="1:11" x14ac:dyDescent="0.4">
      <c r="A106" s="3">
        <v>43054</v>
      </c>
      <c r="B106" s="1">
        <v>29026.11</v>
      </c>
      <c r="C106" s="1">
        <v>29106.49</v>
      </c>
      <c r="D106" s="1">
        <v>28851.69</v>
      </c>
      <c r="E106" s="1">
        <v>28851.69</v>
      </c>
      <c r="F106" s="1">
        <v>28851.69</v>
      </c>
      <c r="G106" s="2">
        <v>2046100400</v>
      </c>
      <c r="H106" s="1">
        <v>28521.082320954883</v>
      </c>
      <c r="I106" s="1" t="s">
        <v>9</v>
      </c>
      <c r="J106" s="1" t="str">
        <f>IF(表格1[[#This Row],[B/H/S]]="B", -表格1[[#This Row],[最高]], IF(表格1[[#This Row],[B/H/S]]="S",表格1[[#This Row],[最低]],""))</f>
        <v/>
      </c>
      <c r="K106" s="1" t="str">
        <f>IF(表格1[[#This Row],[買入/賣出價格]]&lt;&gt;"",ABS(表格1[[#This Row],[買入/賣出價格]]),"")</f>
        <v/>
      </c>
    </row>
    <row r="107" spans="1:11" x14ac:dyDescent="0.4">
      <c r="A107" s="3">
        <v>43055</v>
      </c>
      <c r="B107" s="1">
        <v>28963.77</v>
      </c>
      <c r="C107" s="1">
        <v>29095.49</v>
      </c>
      <c r="D107" s="1">
        <v>28877.759999999998</v>
      </c>
      <c r="E107" s="1">
        <v>29018.76</v>
      </c>
      <c r="F107" s="1">
        <v>29018.76</v>
      </c>
      <c r="G107" s="2">
        <v>1501023200</v>
      </c>
      <c r="H107" s="1">
        <v>28616.956042440299</v>
      </c>
      <c r="I107" s="1" t="s">
        <v>9</v>
      </c>
      <c r="J107" s="1" t="str">
        <f>IF(表格1[[#This Row],[B/H/S]]="B", -表格1[[#This Row],[最高]], IF(表格1[[#This Row],[B/H/S]]="S",表格1[[#This Row],[最低]],""))</f>
        <v/>
      </c>
      <c r="K107" s="1" t="str">
        <f>IF(表格1[[#This Row],[買入/賣出價格]]&lt;&gt;"",ABS(表格1[[#This Row],[買入/賣出價格]]),"")</f>
        <v/>
      </c>
    </row>
    <row r="108" spans="1:11" x14ac:dyDescent="0.4">
      <c r="A108" s="3">
        <v>43056</v>
      </c>
      <c r="B108" s="1">
        <v>29214.36</v>
      </c>
      <c r="C108" s="1">
        <v>29341.919999999998</v>
      </c>
      <c r="D108" s="1">
        <v>29158.35</v>
      </c>
      <c r="E108" s="1">
        <v>29199.040000000001</v>
      </c>
      <c r="F108" s="1">
        <v>29199.040000000001</v>
      </c>
      <c r="G108" s="2">
        <v>2068123000</v>
      </c>
      <c r="H108" s="1">
        <v>28701.324917347461</v>
      </c>
      <c r="I108" s="1" t="s">
        <v>9</v>
      </c>
      <c r="J108" s="1" t="str">
        <f>IF(表格1[[#This Row],[B/H/S]]="B", -表格1[[#This Row],[最高]], IF(表格1[[#This Row],[B/H/S]]="S",表格1[[#This Row],[最低]],""))</f>
        <v/>
      </c>
      <c r="K108" s="1" t="str">
        <f>IF(表格1[[#This Row],[買入/賣出價格]]&lt;&gt;"",ABS(表格1[[#This Row],[買入/賣出價格]]),"")</f>
        <v/>
      </c>
    </row>
    <row r="109" spans="1:11" x14ac:dyDescent="0.4">
      <c r="A109" s="3">
        <v>43059</v>
      </c>
      <c r="B109" s="1">
        <v>29227.08</v>
      </c>
      <c r="C109" s="1">
        <v>29299.87</v>
      </c>
      <c r="D109" s="1">
        <v>29089.58</v>
      </c>
      <c r="E109" s="1">
        <v>29260.31</v>
      </c>
      <c r="F109" s="1">
        <v>29260.31</v>
      </c>
      <c r="G109" s="2">
        <v>1619910000</v>
      </c>
      <c r="H109" s="1">
        <v>28791.008228918818</v>
      </c>
      <c r="I109" s="1" t="s">
        <v>9</v>
      </c>
      <c r="J109" s="1" t="str">
        <f>IF(表格1[[#This Row],[B/H/S]]="B", -表格1[[#This Row],[最高]], IF(表格1[[#This Row],[B/H/S]]="S",表格1[[#This Row],[最低]],""))</f>
        <v/>
      </c>
      <c r="K109" s="1" t="str">
        <f>IF(表格1[[#This Row],[買入/賣出價格]]&lt;&gt;"",ABS(表格1[[#This Row],[買入/賣出價格]]),"")</f>
        <v/>
      </c>
    </row>
    <row r="110" spans="1:11" x14ac:dyDescent="0.4">
      <c r="A110" s="3">
        <v>43060</v>
      </c>
      <c r="B110" s="1">
        <v>29369.69</v>
      </c>
      <c r="C110" s="1">
        <v>29818.07</v>
      </c>
      <c r="D110" s="1">
        <v>29343.48</v>
      </c>
      <c r="E110" s="1">
        <v>29818.07</v>
      </c>
      <c r="F110" s="1">
        <v>29818.07</v>
      </c>
      <c r="G110" s="2">
        <v>2467367300</v>
      </c>
      <c r="H110" s="1">
        <v>28868.135876870183</v>
      </c>
      <c r="I110" s="1" t="s">
        <v>9</v>
      </c>
      <c r="J110" s="1" t="str">
        <f>IF(表格1[[#This Row],[B/H/S]]="B", -表格1[[#This Row],[最高]], IF(表格1[[#This Row],[B/H/S]]="S",表格1[[#This Row],[最低]],""))</f>
        <v/>
      </c>
      <c r="K110" s="1" t="str">
        <f>IF(表格1[[#This Row],[買入/賣出價格]]&lt;&gt;"",ABS(表格1[[#This Row],[買入/賣出價格]]),"")</f>
        <v/>
      </c>
    </row>
    <row r="111" spans="1:11" x14ac:dyDescent="0.4">
      <c r="A111" s="3">
        <v>43061</v>
      </c>
      <c r="B111" s="1">
        <v>30087.19</v>
      </c>
      <c r="C111" s="1">
        <v>30199.69</v>
      </c>
      <c r="D111" s="1">
        <v>29911.07</v>
      </c>
      <c r="E111" s="1">
        <v>30003.49</v>
      </c>
      <c r="F111" s="1">
        <v>30003.49</v>
      </c>
      <c r="G111" s="2">
        <v>2474928600</v>
      </c>
      <c r="H111" s="1">
        <v>29020.125336570953</v>
      </c>
      <c r="I111" s="1" t="s">
        <v>9</v>
      </c>
      <c r="J111" s="1" t="str">
        <f>IF(表格1[[#This Row],[B/H/S]]="B", -表格1[[#This Row],[最高]], IF(表格1[[#This Row],[B/H/S]]="S",表格1[[#This Row],[最低]],""))</f>
        <v/>
      </c>
      <c r="K111" s="1" t="str">
        <f>IF(表格1[[#This Row],[買入/賣出價格]]&lt;&gt;"",ABS(表格1[[#This Row],[買入/賣出價格]]),"")</f>
        <v/>
      </c>
    </row>
    <row r="112" spans="1:11" x14ac:dyDescent="0.4">
      <c r="A112" s="3">
        <v>43062</v>
      </c>
      <c r="B112" s="1">
        <v>30033.18</v>
      </c>
      <c r="C112" s="1">
        <v>30169.99</v>
      </c>
      <c r="D112" s="1">
        <v>29593.79</v>
      </c>
      <c r="E112" s="1">
        <v>29707.94</v>
      </c>
      <c r="F112" s="1">
        <v>29707.94</v>
      </c>
      <c r="G112" s="2">
        <v>2099356300</v>
      </c>
      <c r="H112" s="1">
        <v>29232.446975988179</v>
      </c>
      <c r="I112" s="1" t="s">
        <v>9</v>
      </c>
      <c r="J112" s="1" t="str">
        <f>IF(表格1[[#This Row],[B/H/S]]="B", -表格1[[#This Row],[最高]], IF(表格1[[#This Row],[B/H/S]]="S",表格1[[#This Row],[最低]],""))</f>
        <v/>
      </c>
      <c r="K112" s="1" t="str">
        <f>IF(表格1[[#This Row],[買入/賣出價格]]&lt;&gt;"",ABS(表格1[[#This Row],[買入/賣出價格]]),"")</f>
        <v/>
      </c>
    </row>
    <row r="113" spans="1:11" x14ac:dyDescent="0.4">
      <c r="A113" s="3">
        <v>43063</v>
      </c>
      <c r="B113" s="1">
        <v>29788.18</v>
      </c>
      <c r="C113" s="1">
        <v>29918.92</v>
      </c>
      <c r="D113" s="1">
        <v>29696.59</v>
      </c>
      <c r="E113" s="1">
        <v>29866.32</v>
      </c>
      <c r="F113" s="1">
        <v>29866.32</v>
      </c>
      <c r="G113" s="2">
        <v>1534288700</v>
      </c>
      <c r="H113" s="1">
        <v>29406.550720310308</v>
      </c>
      <c r="I113" s="1" t="s">
        <v>9</v>
      </c>
      <c r="J113" s="1" t="str">
        <f>IF(表格1[[#This Row],[B/H/S]]="B", -表格1[[#This Row],[最高]], IF(表格1[[#This Row],[B/H/S]]="S",表格1[[#This Row],[最低]],""))</f>
        <v/>
      </c>
      <c r="K113" s="1" t="str">
        <f>IF(表格1[[#This Row],[買入/賣出價格]]&lt;&gt;"",ABS(表格1[[#This Row],[買入/賣出價格]]),"")</f>
        <v/>
      </c>
    </row>
    <row r="114" spans="1:11" x14ac:dyDescent="0.4">
      <c r="A114" s="3">
        <v>43066</v>
      </c>
      <c r="B114" s="1">
        <v>29857.65</v>
      </c>
      <c r="C114" s="1">
        <v>29859.11</v>
      </c>
      <c r="D114" s="1">
        <v>29610.959999999999</v>
      </c>
      <c r="E114" s="1">
        <v>29686.19</v>
      </c>
      <c r="F114" s="1">
        <v>29686.19</v>
      </c>
      <c r="G114" s="2">
        <v>1485230700</v>
      </c>
      <c r="H114" s="1">
        <v>29549.315790654451</v>
      </c>
      <c r="I114" s="1" t="s">
        <v>9</v>
      </c>
      <c r="J114" s="1" t="str">
        <f>IF(表格1[[#This Row],[B/H/S]]="B", -表格1[[#This Row],[最高]], IF(表格1[[#This Row],[B/H/S]]="S",表格1[[#This Row],[最低]],""))</f>
        <v/>
      </c>
      <c r="K114" s="1" t="str">
        <f>IF(表格1[[#This Row],[買入/賣出價格]]&lt;&gt;"",ABS(表格1[[#This Row],[買入/賣出價格]]),"")</f>
        <v/>
      </c>
    </row>
    <row r="115" spans="1:11" x14ac:dyDescent="0.4">
      <c r="A115" s="3">
        <v>43067</v>
      </c>
      <c r="B115" s="1">
        <v>29608.639999999999</v>
      </c>
      <c r="C115" s="1">
        <v>29687.45</v>
      </c>
      <c r="D115" s="1">
        <v>29334.59</v>
      </c>
      <c r="E115" s="1">
        <v>29680.85</v>
      </c>
      <c r="F115" s="1">
        <v>29680.85</v>
      </c>
      <c r="G115" s="2">
        <v>1744542000</v>
      </c>
      <c r="H115" s="1">
        <v>29918.92</v>
      </c>
      <c r="I115" s="1" t="s">
        <v>11</v>
      </c>
      <c r="J115" s="1">
        <f>IF(表格1[[#This Row],[B/H/S]]="B", -表格1[[#This Row],[最高]], IF(表格1[[#This Row],[B/H/S]]="S",表格1[[#This Row],[最低]],""))</f>
        <v>29334.59</v>
      </c>
      <c r="K115" s="1">
        <f>IF(表格1[[#This Row],[買入/賣出價格]]&lt;&gt;"",ABS(表格1[[#This Row],[買入/賣出價格]]),"")</f>
        <v>29334.59</v>
      </c>
    </row>
    <row r="116" spans="1:11" x14ac:dyDescent="0.4">
      <c r="A116" s="3">
        <v>43068</v>
      </c>
      <c r="B116" s="1">
        <v>29813.94</v>
      </c>
      <c r="C116" s="1">
        <v>29831.19</v>
      </c>
      <c r="D116" s="1">
        <v>29563.39</v>
      </c>
      <c r="E116" s="1">
        <v>29623.83</v>
      </c>
      <c r="F116" s="1">
        <v>29623.83</v>
      </c>
      <c r="G116" s="2">
        <v>1434723600</v>
      </c>
      <c r="H116" s="1">
        <v>29907.233399999997</v>
      </c>
      <c r="I116" s="1" t="s">
        <v>9</v>
      </c>
      <c r="J116" s="1" t="str">
        <f>IF(表格1[[#This Row],[B/H/S]]="B", -表格1[[#This Row],[最高]], IF(表格1[[#This Row],[B/H/S]]="S",表格1[[#This Row],[最低]],""))</f>
        <v/>
      </c>
      <c r="K116" s="1" t="str">
        <f>IF(表格1[[#This Row],[買入/賣出價格]]&lt;&gt;"",ABS(表格1[[#This Row],[買入/賣出價格]]),"")</f>
        <v/>
      </c>
    </row>
    <row r="117" spans="1:11" x14ac:dyDescent="0.4">
      <c r="A117" s="3">
        <v>43069</v>
      </c>
      <c r="B117" s="1">
        <v>29340.27</v>
      </c>
      <c r="C117" s="1">
        <v>29353.51</v>
      </c>
      <c r="D117" s="1">
        <v>29127.3</v>
      </c>
      <c r="E117" s="1">
        <v>29177.35</v>
      </c>
      <c r="F117" s="1">
        <v>29177.35</v>
      </c>
      <c r="G117" s="2">
        <v>2435496800</v>
      </c>
      <c r="H117" s="1">
        <v>29895.780531999997</v>
      </c>
      <c r="I117" s="1" t="s">
        <v>9</v>
      </c>
      <c r="J117" s="1" t="str">
        <f>IF(表格1[[#This Row],[B/H/S]]="B", -表格1[[#This Row],[最高]], IF(表格1[[#This Row],[B/H/S]]="S",表格1[[#This Row],[最低]],""))</f>
        <v/>
      </c>
      <c r="K117" s="1" t="str">
        <f>IF(表格1[[#This Row],[買入/賣出價格]]&lt;&gt;"",ABS(表格1[[#This Row],[買入/賣出價格]]),"")</f>
        <v/>
      </c>
    </row>
    <row r="118" spans="1:11" x14ac:dyDescent="0.4">
      <c r="A118" s="3">
        <v>43070</v>
      </c>
      <c r="B118" s="1">
        <v>29261.31</v>
      </c>
      <c r="C118" s="1">
        <v>29345.97</v>
      </c>
      <c r="D118" s="1">
        <v>29028.76</v>
      </c>
      <c r="E118" s="1">
        <v>29074.240000000002</v>
      </c>
      <c r="F118" s="1">
        <v>29074.240000000002</v>
      </c>
      <c r="G118" s="2">
        <v>2086681200</v>
      </c>
      <c r="H118" s="1">
        <v>29865.041310719997</v>
      </c>
      <c r="I118" s="1" t="s">
        <v>9</v>
      </c>
      <c r="J118" s="1" t="str">
        <f>IF(表格1[[#This Row],[B/H/S]]="B", -表格1[[#This Row],[最高]], IF(表格1[[#This Row],[B/H/S]]="S",表格1[[#This Row],[最低]],""))</f>
        <v/>
      </c>
      <c r="K118" s="1" t="str">
        <f>IF(表格1[[#This Row],[買入/賣出價格]]&lt;&gt;"",ABS(表格1[[#This Row],[買入/賣出價格]]),"")</f>
        <v/>
      </c>
    </row>
    <row r="119" spans="1:11" x14ac:dyDescent="0.4">
      <c r="A119" s="3">
        <v>43073</v>
      </c>
      <c r="B119" s="1">
        <v>28951.19</v>
      </c>
      <c r="C119" s="1">
        <v>29343.78</v>
      </c>
      <c r="D119" s="1">
        <v>28803.19</v>
      </c>
      <c r="E119" s="1">
        <v>29138.28</v>
      </c>
      <c r="F119" s="1">
        <v>29138.28</v>
      </c>
      <c r="G119" s="2">
        <v>1624072100</v>
      </c>
      <c r="H119" s="1">
        <v>29814.864432076796</v>
      </c>
      <c r="I119" s="1" t="s">
        <v>9</v>
      </c>
      <c r="J119" s="1" t="str">
        <f>IF(表格1[[#This Row],[B/H/S]]="B", -表格1[[#This Row],[最高]], IF(表格1[[#This Row],[B/H/S]]="S",表格1[[#This Row],[最低]],""))</f>
        <v/>
      </c>
      <c r="K119" s="1" t="str">
        <f>IF(表格1[[#This Row],[買入/賣出價格]]&lt;&gt;"",ABS(表格1[[#This Row],[買入/賣出價格]]),"")</f>
        <v/>
      </c>
    </row>
    <row r="120" spans="1:11" x14ac:dyDescent="0.4">
      <c r="A120" s="3">
        <v>43074</v>
      </c>
      <c r="B120" s="1">
        <v>28898.58</v>
      </c>
      <c r="C120" s="1">
        <v>29124.240000000002</v>
      </c>
      <c r="D120" s="1">
        <v>28838.12</v>
      </c>
      <c r="E120" s="1">
        <v>28842.799999999999</v>
      </c>
      <c r="F120" s="1">
        <v>28842.799999999999</v>
      </c>
      <c r="G120" s="2">
        <v>1439200300</v>
      </c>
      <c r="H120" s="1">
        <v>29733.930477510654</v>
      </c>
      <c r="I120" s="1" t="s">
        <v>9</v>
      </c>
      <c r="J120" s="1" t="str">
        <f>IF(表格1[[#This Row],[B/H/S]]="B", -表格1[[#This Row],[最高]], IF(表格1[[#This Row],[B/H/S]]="S",表格1[[#This Row],[最低]],""))</f>
        <v/>
      </c>
      <c r="K120" s="1" t="str">
        <f>IF(表格1[[#This Row],[買入/賣出價格]]&lt;&gt;"",ABS(表格1[[#This Row],[買入/賣出價格]]),"")</f>
        <v/>
      </c>
    </row>
    <row r="121" spans="1:11" x14ac:dyDescent="0.4">
      <c r="A121" s="3">
        <v>43075</v>
      </c>
      <c r="B121" s="1">
        <v>28850.36</v>
      </c>
      <c r="C121" s="1">
        <v>28929.21</v>
      </c>
      <c r="D121" s="1">
        <v>28204.53</v>
      </c>
      <c r="E121" s="1">
        <v>28224.799999999999</v>
      </c>
      <c r="F121" s="1">
        <v>28224.799999999999</v>
      </c>
      <c r="G121" s="2">
        <v>2605434400</v>
      </c>
      <c r="H121" s="1">
        <v>29659.471239309802</v>
      </c>
      <c r="I121" s="1" t="s">
        <v>9</v>
      </c>
      <c r="J121" s="1" t="str">
        <f>IF(表格1[[#This Row],[B/H/S]]="B", -表格1[[#This Row],[最高]], IF(表格1[[#This Row],[B/H/S]]="S",表格1[[#This Row],[最低]],""))</f>
        <v/>
      </c>
      <c r="K121" s="1" t="str">
        <f>IF(表格1[[#This Row],[買入/賣出價格]]&lt;&gt;"",ABS(表格1[[#This Row],[買入/賣出價格]]),"")</f>
        <v/>
      </c>
    </row>
    <row r="122" spans="1:11" x14ac:dyDescent="0.4">
      <c r="A122" s="3">
        <v>43076</v>
      </c>
      <c r="B122" s="1">
        <v>28366.14</v>
      </c>
      <c r="C122" s="1">
        <v>28478.34</v>
      </c>
      <c r="D122" s="1">
        <v>28134.93</v>
      </c>
      <c r="E122" s="1">
        <v>28303.19</v>
      </c>
      <c r="F122" s="1">
        <v>28303.19</v>
      </c>
      <c r="G122" s="2">
        <v>1782453900</v>
      </c>
      <c r="H122" s="1">
        <v>29513.977115378821</v>
      </c>
      <c r="I122" s="1" t="s">
        <v>9</v>
      </c>
      <c r="J122" s="1" t="str">
        <f>IF(表格1[[#This Row],[B/H/S]]="B", -表格1[[#This Row],[最高]], IF(表格1[[#This Row],[B/H/S]]="S",表格1[[#This Row],[最低]],""))</f>
        <v/>
      </c>
      <c r="K122" s="1" t="str">
        <f>IF(表格1[[#This Row],[買入/賣出價格]]&lt;&gt;"",ABS(表格1[[#This Row],[買入/賣出價格]]),"")</f>
        <v/>
      </c>
    </row>
    <row r="123" spans="1:11" x14ac:dyDescent="0.4">
      <c r="A123" s="3">
        <v>43077</v>
      </c>
      <c r="B123" s="1">
        <v>28400.01</v>
      </c>
      <c r="C123" s="1">
        <v>28705.759999999998</v>
      </c>
      <c r="D123" s="1">
        <v>28344.39</v>
      </c>
      <c r="E123" s="1">
        <v>28639.85</v>
      </c>
      <c r="F123" s="1">
        <v>28639.85</v>
      </c>
      <c r="G123" s="2">
        <v>1747376700</v>
      </c>
      <c r="H123" s="1">
        <v>29348.491461533362</v>
      </c>
      <c r="I123" s="1" t="s">
        <v>9</v>
      </c>
      <c r="J123" s="1" t="str">
        <f>IF(表格1[[#This Row],[B/H/S]]="B", -表格1[[#This Row],[最高]], IF(表格1[[#This Row],[B/H/S]]="S",表格1[[#This Row],[最低]],""))</f>
        <v/>
      </c>
      <c r="K123" s="1" t="str">
        <f>IF(表格1[[#This Row],[買入/賣出價格]]&lt;&gt;"",ABS(表格1[[#This Row],[買入/賣出價格]]),"")</f>
        <v/>
      </c>
    </row>
    <row r="124" spans="1:11" x14ac:dyDescent="0.4">
      <c r="A124" s="3">
        <v>43080</v>
      </c>
      <c r="B124" s="1">
        <v>28645.41</v>
      </c>
      <c r="C124" s="1">
        <v>28998.51</v>
      </c>
      <c r="D124" s="1">
        <v>28645.41</v>
      </c>
      <c r="E124" s="1">
        <v>28965.29</v>
      </c>
      <c r="F124" s="1">
        <v>28965.29</v>
      </c>
      <c r="G124" s="2">
        <v>2127756300</v>
      </c>
      <c r="H124" s="1">
        <v>29202.864086149359</v>
      </c>
      <c r="I124" s="1" t="s">
        <v>9</v>
      </c>
      <c r="J124" s="1" t="str">
        <f>IF(表格1[[#This Row],[B/H/S]]="B", -表格1[[#This Row],[最高]], IF(表格1[[#This Row],[B/H/S]]="S",表格1[[#This Row],[最低]],""))</f>
        <v/>
      </c>
      <c r="K124" s="1" t="str">
        <f>IF(表格1[[#This Row],[買入/賣出價格]]&lt;&gt;"",ABS(表格1[[#This Row],[買入/賣出價格]]),"")</f>
        <v/>
      </c>
    </row>
    <row r="125" spans="1:11" x14ac:dyDescent="0.4">
      <c r="A125" s="3">
        <v>43081</v>
      </c>
      <c r="B125" s="1">
        <v>28972.74</v>
      </c>
      <c r="C125" s="1">
        <v>29066.77</v>
      </c>
      <c r="D125" s="1">
        <v>28745.73</v>
      </c>
      <c r="E125" s="1">
        <v>28793.88</v>
      </c>
      <c r="F125" s="1">
        <v>28793.88</v>
      </c>
      <c r="G125" s="2">
        <v>2135704400</v>
      </c>
      <c r="H125" s="1">
        <v>29074.711995811434</v>
      </c>
      <c r="I125" s="1" t="s">
        <v>9</v>
      </c>
      <c r="J125" s="1" t="str">
        <f>IF(表格1[[#This Row],[B/H/S]]="B", -表格1[[#This Row],[最高]], IF(表格1[[#This Row],[B/H/S]]="S",表格1[[#This Row],[最低]],""))</f>
        <v/>
      </c>
      <c r="K125" s="1" t="str">
        <f>IF(表格1[[#This Row],[買入/賣出價格]]&lt;&gt;"",ABS(表格1[[#This Row],[買入/賣出價格]]),"")</f>
        <v/>
      </c>
    </row>
    <row r="126" spans="1:11" x14ac:dyDescent="0.4">
      <c r="A126" s="3">
        <v>43082</v>
      </c>
      <c r="B126" s="1">
        <v>28856.78</v>
      </c>
      <c r="C126" s="1">
        <v>29276.67</v>
      </c>
      <c r="D126" s="1">
        <v>28707.599999999999</v>
      </c>
      <c r="E126" s="1">
        <v>29222.1</v>
      </c>
      <c r="F126" s="1">
        <v>29222.1</v>
      </c>
      <c r="G126" s="2">
        <v>2574054200</v>
      </c>
      <c r="H126" s="1">
        <v>28645.41</v>
      </c>
      <c r="I126" s="1" t="s">
        <v>10</v>
      </c>
      <c r="J126" s="1">
        <f>IF(表格1[[#This Row],[B/H/S]]="B", -表格1[[#This Row],[最高]], IF(表格1[[#This Row],[B/H/S]]="S",表格1[[#This Row],[最低]],""))</f>
        <v>-29276.67</v>
      </c>
      <c r="K126" s="1">
        <f>IF(表格1[[#This Row],[買入/賣出價格]]&lt;&gt;"",ABS(表格1[[#This Row],[買入/賣出價格]]),"")</f>
        <v>29276.67</v>
      </c>
    </row>
    <row r="127" spans="1:11" x14ac:dyDescent="0.4">
      <c r="A127" s="3">
        <v>43083</v>
      </c>
      <c r="B127" s="1">
        <v>29335.759999999998</v>
      </c>
      <c r="C127" s="1">
        <v>29367.51</v>
      </c>
      <c r="D127" s="1">
        <v>29047.61</v>
      </c>
      <c r="E127" s="1">
        <v>29166.38</v>
      </c>
      <c r="F127" s="1">
        <v>29166.38</v>
      </c>
      <c r="G127" s="2">
        <v>1959305700</v>
      </c>
      <c r="H127" s="1">
        <v>28658.035199999998</v>
      </c>
      <c r="I127" s="1" t="s">
        <v>9</v>
      </c>
      <c r="J127" s="1" t="str">
        <f>IF(表格1[[#This Row],[B/H/S]]="B", -表格1[[#This Row],[最高]], IF(表格1[[#This Row],[B/H/S]]="S",表格1[[#This Row],[最低]],""))</f>
        <v/>
      </c>
      <c r="K127" s="1" t="str">
        <f>IF(表格1[[#This Row],[買入/賣出價格]]&lt;&gt;"",ABS(表格1[[#This Row],[買入/賣出價格]]),"")</f>
        <v/>
      </c>
    </row>
    <row r="128" spans="1:11" x14ac:dyDescent="0.4">
      <c r="A128" s="3">
        <v>43084</v>
      </c>
      <c r="B128" s="1">
        <v>29000.11</v>
      </c>
      <c r="C128" s="1">
        <v>29017.66</v>
      </c>
      <c r="D128" s="1">
        <v>28738.84</v>
      </c>
      <c r="E128" s="1">
        <v>28848.11</v>
      </c>
      <c r="F128" s="1">
        <v>28848.11</v>
      </c>
      <c r="G128" s="2">
        <v>1999793000</v>
      </c>
      <c r="H128" s="1">
        <v>28686.414192</v>
      </c>
      <c r="I128" s="1" t="s">
        <v>9</v>
      </c>
      <c r="J128" s="1" t="str">
        <f>IF(表格1[[#This Row],[B/H/S]]="B", -表格1[[#This Row],[最高]], IF(表格1[[#This Row],[B/H/S]]="S",表格1[[#This Row],[最低]],""))</f>
        <v/>
      </c>
      <c r="K128" s="1" t="str">
        <f>IF(表格1[[#This Row],[買入/賣出價格]]&lt;&gt;"",ABS(表格1[[#This Row],[買入/賣出價格]]),"")</f>
        <v/>
      </c>
    </row>
    <row r="129" spans="1:11" x14ac:dyDescent="0.4">
      <c r="A129" s="3">
        <v>43087</v>
      </c>
      <c r="B129" s="1">
        <v>28923.53</v>
      </c>
      <c r="C129" s="1">
        <v>29143.33</v>
      </c>
      <c r="D129" s="1">
        <v>28821.19</v>
      </c>
      <c r="E129" s="1">
        <v>29050.41</v>
      </c>
      <c r="F129" s="1">
        <v>29050.41</v>
      </c>
      <c r="G129" s="2">
        <v>1637861800</v>
      </c>
      <c r="H129" s="1">
        <v>28713.658024320001</v>
      </c>
      <c r="I129" s="1" t="s">
        <v>9</v>
      </c>
      <c r="J129" s="1" t="str">
        <f>IF(表格1[[#This Row],[B/H/S]]="B", -表格1[[#This Row],[最高]], IF(表格1[[#This Row],[B/H/S]]="S",表格1[[#This Row],[最低]],""))</f>
        <v/>
      </c>
      <c r="K129" s="1" t="str">
        <f>IF(表格1[[#This Row],[買入/賣出價格]]&lt;&gt;"",ABS(表格1[[#This Row],[買入/賣出價格]]),"")</f>
        <v/>
      </c>
    </row>
    <row r="130" spans="1:11" x14ac:dyDescent="0.4">
      <c r="A130" s="3">
        <v>43088</v>
      </c>
      <c r="B130" s="1">
        <v>29193.74</v>
      </c>
      <c r="C130" s="1">
        <v>29339.11</v>
      </c>
      <c r="D130" s="1">
        <v>29144.17</v>
      </c>
      <c r="E130" s="1">
        <v>29253.66</v>
      </c>
      <c r="F130" s="1">
        <v>29253.66</v>
      </c>
      <c r="G130" s="2">
        <v>1633522100</v>
      </c>
      <c r="H130" s="1">
        <v>28738.84</v>
      </c>
      <c r="I130" s="1" t="s">
        <v>9</v>
      </c>
      <c r="J130" s="1" t="str">
        <f>IF(表格1[[#This Row],[B/H/S]]="B", -表格1[[#This Row],[最高]], IF(表格1[[#This Row],[B/H/S]]="S",表格1[[#This Row],[最低]],""))</f>
        <v/>
      </c>
      <c r="K130" s="1" t="str">
        <f>IF(表格1[[#This Row],[買入/賣出價格]]&lt;&gt;"",ABS(表格1[[#This Row],[買入/賣出價格]]),"")</f>
        <v/>
      </c>
    </row>
    <row r="131" spans="1:11" x14ac:dyDescent="0.4">
      <c r="A131" s="3">
        <v>43089</v>
      </c>
      <c r="B131" s="1">
        <v>29199.29</v>
      </c>
      <c r="C131" s="1">
        <v>29326.52</v>
      </c>
      <c r="D131" s="1">
        <v>29159.279999999999</v>
      </c>
      <c r="E131" s="1">
        <v>29234.09</v>
      </c>
      <c r="F131" s="1">
        <v>29234.09</v>
      </c>
      <c r="G131" s="2">
        <v>1308865200</v>
      </c>
      <c r="H131" s="1">
        <v>28763.986799999999</v>
      </c>
      <c r="I131" s="1" t="s">
        <v>9</v>
      </c>
      <c r="J131" s="1" t="str">
        <f>IF(表格1[[#This Row],[B/H/S]]="B", -表格1[[#This Row],[最高]], IF(表格1[[#This Row],[B/H/S]]="S",表格1[[#This Row],[最低]],""))</f>
        <v/>
      </c>
      <c r="K131" s="1" t="str">
        <f>IF(表格1[[#This Row],[買入/賣出價格]]&lt;&gt;"",ABS(表格1[[#This Row],[買入/賣出價格]]),"")</f>
        <v/>
      </c>
    </row>
    <row r="132" spans="1:11" x14ac:dyDescent="0.4">
      <c r="A132" s="3">
        <v>43090</v>
      </c>
      <c r="B132" s="1">
        <v>29209.64</v>
      </c>
      <c r="C132" s="1">
        <v>29431.81</v>
      </c>
      <c r="D132" s="1">
        <v>29145.13</v>
      </c>
      <c r="E132" s="1">
        <v>29367.06</v>
      </c>
      <c r="F132" s="1">
        <v>29367.06</v>
      </c>
      <c r="G132" s="2">
        <v>1440980300</v>
      </c>
      <c r="H132" s="1">
        <v>28788.127727999999</v>
      </c>
      <c r="I132" s="1" t="s">
        <v>9</v>
      </c>
      <c r="J132" s="1" t="str">
        <f>IF(表格1[[#This Row],[B/H/S]]="B", -表格1[[#This Row],[最高]], IF(表格1[[#This Row],[B/H/S]]="S",表格1[[#This Row],[最低]],""))</f>
        <v/>
      </c>
      <c r="K132" s="1" t="str">
        <f>IF(表格1[[#This Row],[買入/賣出價格]]&lt;&gt;"",ABS(表格1[[#This Row],[買入/賣出價格]]),"")</f>
        <v/>
      </c>
    </row>
    <row r="133" spans="1:11" x14ac:dyDescent="0.4">
      <c r="A133" s="3">
        <v>43091</v>
      </c>
      <c r="B133" s="1">
        <v>29505.05</v>
      </c>
      <c r="C133" s="1">
        <v>29578.01</v>
      </c>
      <c r="D133" s="1">
        <v>29413.86</v>
      </c>
      <c r="E133" s="1">
        <v>29578.01</v>
      </c>
      <c r="F133" s="1">
        <v>29578.01</v>
      </c>
      <c r="G133" s="2">
        <v>1282144300</v>
      </c>
      <c r="H133" s="1">
        <v>28826.748664319999</v>
      </c>
      <c r="I133" s="1" t="s">
        <v>9</v>
      </c>
      <c r="J133" s="1" t="str">
        <f>IF(表格1[[#This Row],[B/H/S]]="B", -表格1[[#This Row],[最高]], IF(表格1[[#This Row],[B/H/S]]="S",表格1[[#This Row],[最低]],""))</f>
        <v/>
      </c>
      <c r="K133" s="1" t="str">
        <f>IF(表格1[[#This Row],[買入/賣出價格]]&lt;&gt;"",ABS(表格1[[#This Row],[買入/賣出價格]]),"")</f>
        <v/>
      </c>
    </row>
    <row r="134" spans="1:11" x14ac:dyDescent="0.4">
      <c r="A134" s="3">
        <v>43096</v>
      </c>
      <c r="B134" s="1">
        <v>29632.97</v>
      </c>
      <c r="C134" s="1">
        <v>29693.82</v>
      </c>
      <c r="D134" s="1">
        <v>29516.51</v>
      </c>
      <c r="E134" s="1">
        <v>29597.66</v>
      </c>
      <c r="F134" s="1">
        <v>29597.66</v>
      </c>
      <c r="G134" s="2">
        <v>1725832000</v>
      </c>
      <c r="H134" s="1">
        <v>28886.8495711744</v>
      </c>
      <c r="I134" s="1" t="s">
        <v>9</v>
      </c>
      <c r="J134" s="1" t="str">
        <f>IF(表格1[[#This Row],[B/H/S]]="B", -表格1[[#This Row],[最高]], IF(表格1[[#This Row],[B/H/S]]="S",表格1[[#This Row],[最低]],""))</f>
        <v/>
      </c>
      <c r="K134" s="1" t="str">
        <f>IF(表格1[[#This Row],[買入/賣出價格]]&lt;&gt;"",ABS(表格1[[#This Row],[買入/賣出價格]]),"")</f>
        <v/>
      </c>
    </row>
    <row r="135" spans="1:11" x14ac:dyDescent="0.4">
      <c r="A135" s="3">
        <v>43097</v>
      </c>
      <c r="B135" s="1">
        <v>29684.79</v>
      </c>
      <c r="C135" s="1">
        <v>29873.1</v>
      </c>
      <c r="D135" s="1">
        <v>29661.06</v>
      </c>
      <c r="E135" s="1">
        <v>29863.71</v>
      </c>
      <c r="F135" s="1">
        <v>29863.71</v>
      </c>
      <c r="G135" s="2">
        <v>1339575400</v>
      </c>
      <c r="H135" s="1">
        <v>28967.546614056959</v>
      </c>
      <c r="I135" s="1" t="s">
        <v>9</v>
      </c>
      <c r="J135" s="1" t="str">
        <f>IF(表格1[[#This Row],[B/H/S]]="B", -表格1[[#This Row],[最高]], IF(表格1[[#This Row],[B/H/S]]="S",表格1[[#This Row],[最低]],""))</f>
        <v/>
      </c>
      <c r="K135" s="1" t="str">
        <f>IF(表格1[[#This Row],[買入/賣出價格]]&lt;&gt;"",ABS(表格1[[#This Row],[買入/賣出價格]]),"")</f>
        <v/>
      </c>
    </row>
    <row r="136" spans="1:11" x14ac:dyDescent="0.4">
      <c r="A136" s="3">
        <v>43098</v>
      </c>
      <c r="B136" s="1">
        <v>29914.05</v>
      </c>
      <c r="C136" s="1">
        <v>29997.96</v>
      </c>
      <c r="D136" s="1">
        <v>29849.31</v>
      </c>
      <c r="E136" s="1">
        <v>29919.15</v>
      </c>
      <c r="F136" s="1">
        <v>29919.15</v>
      </c>
      <c r="G136" s="2">
        <v>1365770800</v>
      </c>
      <c r="H136" s="1">
        <v>29076.213020370124</v>
      </c>
      <c r="I136" s="1" t="s">
        <v>9</v>
      </c>
      <c r="J136" s="1" t="str">
        <f>IF(表格1[[#This Row],[B/H/S]]="B", -表格1[[#This Row],[最高]], IF(表格1[[#This Row],[B/H/S]]="S",表格1[[#This Row],[最低]],""))</f>
        <v/>
      </c>
      <c r="K136" s="1" t="str">
        <f>IF(表格1[[#This Row],[買入/賣出價格]]&lt;&gt;"",ABS(表格1[[#This Row],[買入/賣出價格]]),"")</f>
        <v/>
      </c>
    </row>
    <row r="137" spans="1:11" x14ac:dyDescent="0.4">
      <c r="A137" s="3">
        <v>43102</v>
      </c>
      <c r="B137" s="1">
        <v>30028.29</v>
      </c>
      <c r="C137" s="1">
        <v>30515.31</v>
      </c>
      <c r="D137" s="1">
        <v>30028.29</v>
      </c>
      <c r="E137" s="1">
        <v>30515.31</v>
      </c>
      <c r="F137" s="1">
        <v>30515.31</v>
      </c>
      <c r="G137" s="2">
        <v>2442333400</v>
      </c>
      <c r="H137" s="1">
        <v>29205.257597518306</v>
      </c>
      <c r="I137" s="1" t="s">
        <v>9</v>
      </c>
      <c r="J137" s="1" t="str">
        <f>IF(表格1[[#This Row],[B/H/S]]="B", -表格1[[#This Row],[最高]], IF(表格1[[#This Row],[B/H/S]]="S",表格1[[#This Row],[最低]],""))</f>
        <v/>
      </c>
      <c r="K137" s="1" t="str">
        <f>IF(表格1[[#This Row],[買入/賣出價格]]&lt;&gt;"",ABS(表格1[[#This Row],[買入/賣出價格]]),"")</f>
        <v/>
      </c>
    </row>
    <row r="138" spans="1:11" x14ac:dyDescent="0.4">
      <c r="A138" s="3">
        <v>43103</v>
      </c>
      <c r="B138" s="1">
        <v>30658.73</v>
      </c>
      <c r="C138" s="1">
        <v>30724.32</v>
      </c>
      <c r="D138" s="1">
        <v>30456.76</v>
      </c>
      <c r="E138" s="1">
        <v>30560.95</v>
      </c>
      <c r="F138" s="1">
        <v>30560.95</v>
      </c>
      <c r="G138" s="2">
        <v>2309467700</v>
      </c>
      <c r="H138" s="1">
        <v>29414.865981915376</v>
      </c>
      <c r="I138" s="1" t="s">
        <v>9</v>
      </c>
      <c r="J138" s="1" t="str">
        <f>IF(表格1[[#This Row],[B/H/S]]="B", -表格1[[#This Row],[最高]], IF(表格1[[#This Row],[B/H/S]]="S",表格1[[#This Row],[最低]],""))</f>
        <v/>
      </c>
      <c r="K138" s="1" t="str">
        <f>IF(表格1[[#This Row],[買入/賣出價格]]&lt;&gt;"",ABS(表格1[[#This Row],[買入/賣出價格]]),"")</f>
        <v/>
      </c>
    </row>
    <row r="139" spans="1:11" x14ac:dyDescent="0.4">
      <c r="A139" s="3">
        <v>43104</v>
      </c>
      <c r="B139" s="1">
        <v>30691.71</v>
      </c>
      <c r="C139" s="1">
        <v>30796.93</v>
      </c>
      <c r="D139" s="1">
        <v>30560.43</v>
      </c>
      <c r="E139" s="1">
        <v>30736.48</v>
      </c>
      <c r="F139" s="1">
        <v>30736.48</v>
      </c>
      <c r="G139" s="2">
        <v>2995571100</v>
      </c>
      <c r="H139" s="1">
        <v>29650.567705170608</v>
      </c>
      <c r="I139" s="1" t="s">
        <v>9</v>
      </c>
      <c r="J139" s="1" t="str">
        <f>IF(表格1[[#This Row],[B/H/S]]="B", -表格1[[#This Row],[最高]], IF(表格1[[#This Row],[B/H/S]]="S",表格1[[#This Row],[最低]],""))</f>
        <v/>
      </c>
      <c r="K139" s="1" t="str">
        <f>IF(表格1[[#This Row],[買入/賣出價格]]&lt;&gt;"",ABS(表格1[[#This Row],[買入/賣出價格]]),"")</f>
        <v/>
      </c>
    </row>
    <row r="140" spans="1:11" x14ac:dyDescent="0.4">
      <c r="A140" s="3">
        <v>43105</v>
      </c>
      <c r="B140" s="1">
        <v>30893.86</v>
      </c>
      <c r="C140" s="1">
        <v>30911.01</v>
      </c>
      <c r="D140" s="1">
        <v>30638.53</v>
      </c>
      <c r="E140" s="1">
        <v>30814.639999999999</v>
      </c>
      <c r="F140" s="1">
        <v>30814.639999999999</v>
      </c>
      <c r="G140" s="2">
        <v>2263930100</v>
      </c>
      <c r="H140" s="1">
        <v>29879.840164136487</v>
      </c>
      <c r="I140" s="1" t="s">
        <v>9</v>
      </c>
      <c r="J140" s="1" t="str">
        <f>IF(表格1[[#This Row],[B/H/S]]="B", -表格1[[#This Row],[最高]], IF(表格1[[#This Row],[B/H/S]]="S",表格1[[#This Row],[最低]],""))</f>
        <v/>
      </c>
      <c r="K140" s="1" t="str">
        <f>IF(表格1[[#This Row],[買入/賣出價格]]&lt;&gt;"",ABS(表格1[[#This Row],[買入/賣出價格]]),"")</f>
        <v/>
      </c>
    </row>
    <row r="141" spans="1:11" x14ac:dyDescent="0.4">
      <c r="A141" s="3">
        <v>43108</v>
      </c>
      <c r="B141" s="1">
        <v>30895.09</v>
      </c>
      <c r="C141" s="1">
        <v>30929.15</v>
      </c>
      <c r="D141" s="1">
        <v>30732.54</v>
      </c>
      <c r="E141" s="1">
        <v>30899.53</v>
      </c>
      <c r="F141" s="1">
        <v>30899.53</v>
      </c>
      <c r="G141" s="2">
        <v>2004162500</v>
      </c>
      <c r="H141" s="1">
        <v>30106.69752802646</v>
      </c>
      <c r="I141" s="1" t="s">
        <v>9</v>
      </c>
      <c r="J141" s="1" t="str">
        <f>IF(表格1[[#This Row],[B/H/S]]="B", -表格1[[#This Row],[最高]], IF(表格1[[#This Row],[B/H/S]]="S",表格1[[#This Row],[最低]],""))</f>
        <v/>
      </c>
      <c r="K141" s="1" t="str">
        <f>IF(表格1[[#This Row],[買入/賣出價格]]&lt;&gt;"",ABS(表格1[[#This Row],[買入/賣出價格]]),"")</f>
        <v/>
      </c>
    </row>
    <row r="142" spans="1:11" x14ac:dyDescent="0.4">
      <c r="A142" s="3">
        <v>43109</v>
      </c>
      <c r="B142" s="1">
        <v>30933.51</v>
      </c>
      <c r="C142" s="1">
        <v>31056.7</v>
      </c>
      <c r="D142" s="1">
        <v>30852.43</v>
      </c>
      <c r="E142" s="1">
        <v>31011.41</v>
      </c>
      <c r="F142" s="1">
        <v>31011.41</v>
      </c>
      <c r="G142" s="2">
        <v>2004940800</v>
      </c>
      <c r="H142" s="1">
        <v>30287.637071860638</v>
      </c>
      <c r="I142" s="1" t="s">
        <v>9</v>
      </c>
      <c r="J142" s="1" t="str">
        <f>IF(表格1[[#This Row],[B/H/S]]="B", -表格1[[#This Row],[最高]], IF(表格1[[#This Row],[B/H/S]]="S",表格1[[#This Row],[最低]],""))</f>
        <v/>
      </c>
      <c r="K142" s="1" t="str">
        <f>IF(表格1[[#This Row],[買入/賣出價格]]&lt;&gt;"",ABS(表格1[[#This Row],[買入/賣出價格]]),"")</f>
        <v/>
      </c>
    </row>
    <row r="143" spans="1:11" x14ac:dyDescent="0.4">
      <c r="A143" s="3">
        <v>43110</v>
      </c>
      <c r="B143" s="1">
        <v>31009.24</v>
      </c>
      <c r="C143" s="1">
        <v>31267.57</v>
      </c>
      <c r="D143" s="1">
        <v>30928.58</v>
      </c>
      <c r="E143" s="1">
        <v>31073.72</v>
      </c>
      <c r="F143" s="1">
        <v>31073.72</v>
      </c>
      <c r="G143" s="2">
        <v>2595365800</v>
      </c>
      <c r="H143" s="1">
        <v>30456.830916051298</v>
      </c>
      <c r="I143" s="1" t="s">
        <v>9</v>
      </c>
      <c r="J143" s="1" t="str">
        <f>IF(表格1[[#This Row],[B/H/S]]="B", -表格1[[#This Row],[最高]], IF(表格1[[#This Row],[B/H/S]]="S",表格1[[#This Row],[最低]],""))</f>
        <v/>
      </c>
      <c r="K143" s="1" t="str">
        <f>IF(表格1[[#This Row],[買入/賣出價格]]&lt;&gt;"",ABS(表格1[[#This Row],[買入/賣出價格]]),"")</f>
        <v/>
      </c>
    </row>
    <row r="144" spans="1:11" x14ac:dyDescent="0.4">
      <c r="A144" s="3">
        <v>43111</v>
      </c>
      <c r="B144" s="1">
        <v>31066.21</v>
      </c>
      <c r="C144" s="1">
        <v>31133.18</v>
      </c>
      <c r="D144" s="1">
        <v>30950.07</v>
      </c>
      <c r="E144" s="1">
        <v>31120.39</v>
      </c>
      <c r="F144" s="1">
        <v>31120.39</v>
      </c>
      <c r="G144" s="2">
        <v>1794778900</v>
      </c>
      <c r="H144" s="1">
        <v>30635.193514520011</v>
      </c>
      <c r="I144" s="1" t="s">
        <v>9</v>
      </c>
      <c r="J144" s="1" t="str">
        <f>IF(表格1[[#This Row],[B/H/S]]="B", -表格1[[#This Row],[最高]], IF(表格1[[#This Row],[B/H/S]]="S",表格1[[#This Row],[最低]],""))</f>
        <v/>
      </c>
      <c r="K144" s="1" t="str">
        <f>IF(表格1[[#This Row],[買入/賣出價格]]&lt;&gt;"",ABS(表格1[[#This Row],[買入/賣出價格]]),"")</f>
        <v/>
      </c>
    </row>
    <row r="145" spans="1:11" x14ac:dyDescent="0.4">
      <c r="A145" s="3">
        <v>43112</v>
      </c>
      <c r="B145" s="1">
        <v>31298.05</v>
      </c>
      <c r="C145" s="1">
        <v>31412.54</v>
      </c>
      <c r="D145" s="1">
        <v>31198.36</v>
      </c>
      <c r="E145" s="1">
        <v>31412.54</v>
      </c>
      <c r="F145" s="1">
        <v>31412.54</v>
      </c>
      <c r="G145" s="2">
        <v>2327417400</v>
      </c>
      <c r="H145" s="1">
        <v>30774.316341325608</v>
      </c>
      <c r="I145" s="1" t="s">
        <v>9</v>
      </c>
      <c r="J145" s="1" t="str">
        <f>IF(表格1[[#This Row],[B/H/S]]="B", -表格1[[#This Row],[最高]], IF(表格1[[#This Row],[B/H/S]]="S",表格1[[#This Row],[最低]],""))</f>
        <v/>
      </c>
      <c r="K145" s="1" t="str">
        <f>IF(表格1[[#This Row],[買入/賣出價格]]&lt;&gt;"",ABS(表格1[[#This Row],[買入/賣出價格]]),"")</f>
        <v/>
      </c>
    </row>
    <row r="146" spans="1:11" x14ac:dyDescent="0.4">
      <c r="A146" s="3">
        <v>43115</v>
      </c>
      <c r="B146" s="1">
        <v>31702.560000000001</v>
      </c>
      <c r="C146" s="1">
        <v>31733.18</v>
      </c>
      <c r="D146" s="1">
        <v>31265.25</v>
      </c>
      <c r="E146" s="1">
        <v>31338.87</v>
      </c>
      <c r="F146" s="1">
        <v>31338.87</v>
      </c>
      <c r="G146" s="2">
        <v>2664144600</v>
      </c>
      <c r="H146" s="1">
        <v>30914.725546233974</v>
      </c>
      <c r="I146" s="1" t="s">
        <v>9</v>
      </c>
      <c r="J146" s="1" t="str">
        <f>IF(表格1[[#This Row],[B/H/S]]="B", -表格1[[#This Row],[最高]], IF(表格1[[#This Row],[B/H/S]]="S",表格1[[#This Row],[最低]],""))</f>
        <v/>
      </c>
      <c r="K146" s="1" t="str">
        <f>IF(表格1[[#This Row],[買入/賣出價格]]&lt;&gt;"",ABS(表格1[[#This Row],[買入/賣出價格]]),"")</f>
        <v/>
      </c>
    </row>
    <row r="147" spans="1:11" x14ac:dyDescent="0.4">
      <c r="A147" s="3">
        <v>43116</v>
      </c>
      <c r="B147" s="1">
        <v>31423.62</v>
      </c>
      <c r="C147" s="1">
        <v>31904.75</v>
      </c>
      <c r="D147" s="1">
        <v>31423.62</v>
      </c>
      <c r="E147" s="1">
        <v>31904.75</v>
      </c>
      <c r="F147" s="1">
        <v>31904.75</v>
      </c>
      <c r="G147" s="2">
        <v>3097059200</v>
      </c>
      <c r="H147" s="1">
        <v>31094.7855260625</v>
      </c>
      <c r="I147" s="1" t="s">
        <v>9</v>
      </c>
      <c r="J147" s="1" t="str">
        <f>IF(表格1[[#This Row],[B/H/S]]="B", -表格1[[#This Row],[最高]], IF(表格1[[#This Row],[B/H/S]]="S",表格1[[#This Row],[最低]],""))</f>
        <v/>
      </c>
      <c r="K147" s="1" t="str">
        <f>IF(表格1[[#This Row],[買入/賣出價格]]&lt;&gt;"",ABS(表格1[[#This Row],[買入/賣出價格]]),"")</f>
        <v/>
      </c>
    </row>
    <row r="148" spans="1:11" x14ac:dyDescent="0.4">
      <c r="A148" s="3">
        <v>43117</v>
      </c>
      <c r="B148" s="1">
        <v>31825.52</v>
      </c>
      <c r="C148" s="1">
        <v>31983.41</v>
      </c>
      <c r="D148" s="1">
        <v>31642.27</v>
      </c>
      <c r="E148" s="1">
        <v>31983.41</v>
      </c>
      <c r="F148" s="1">
        <v>31983.41</v>
      </c>
      <c r="G148" s="2">
        <v>3999243800</v>
      </c>
      <c r="H148" s="1">
        <v>31265.25</v>
      </c>
      <c r="I148" s="1" t="s">
        <v>9</v>
      </c>
      <c r="J148" s="1" t="str">
        <f>IF(表格1[[#This Row],[B/H/S]]="B", -表格1[[#This Row],[最高]], IF(表格1[[#This Row],[B/H/S]]="S",表格1[[#This Row],[最低]],""))</f>
        <v/>
      </c>
      <c r="K148" s="1" t="str">
        <f>IF(表格1[[#This Row],[買入/賣出價格]]&lt;&gt;"",ABS(表格1[[#This Row],[買入/賣出價格]]),"")</f>
        <v/>
      </c>
    </row>
    <row r="149" spans="1:11" x14ac:dyDescent="0.4">
      <c r="A149" s="3">
        <v>43118</v>
      </c>
      <c r="B149" s="1">
        <v>32148.45</v>
      </c>
      <c r="C149" s="1">
        <v>32233.81</v>
      </c>
      <c r="D149" s="1">
        <v>31869.7</v>
      </c>
      <c r="E149" s="1">
        <v>32121.94</v>
      </c>
      <c r="F149" s="1">
        <v>32121.94</v>
      </c>
      <c r="G149" s="2">
        <v>3741499700</v>
      </c>
      <c r="H149" s="1">
        <v>31423.245200000001</v>
      </c>
      <c r="I149" s="1" t="s">
        <v>9</v>
      </c>
      <c r="J149" s="1" t="str">
        <f>IF(表格1[[#This Row],[B/H/S]]="B", -表格1[[#This Row],[最高]], IF(表格1[[#This Row],[B/H/S]]="S",表格1[[#This Row],[最低]],""))</f>
        <v/>
      </c>
      <c r="K149" s="1" t="str">
        <f>IF(表格1[[#This Row],[買入/賣出價格]]&lt;&gt;"",ABS(表格1[[#This Row],[買入/賣出價格]]),"")</f>
        <v/>
      </c>
    </row>
    <row r="150" spans="1:11" x14ac:dyDescent="0.4">
      <c r="A150" s="3">
        <v>43119</v>
      </c>
      <c r="B150" s="1">
        <v>32142.16</v>
      </c>
      <c r="C150" s="1">
        <v>32254.89</v>
      </c>
      <c r="D150" s="1">
        <v>31986</v>
      </c>
      <c r="E150" s="1">
        <v>32254.89</v>
      </c>
      <c r="F150" s="1">
        <v>32254.89</v>
      </c>
      <c r="G150" s="2">
        <v>2906627500</v>
      </c>
      <c r="H150" s="1">
        <v>31601.569456000001</v>
      </c>
      <c r="I150" s="1" t="s">
        <v>9</v>
      </c>
      <c r="J150" s="1" t="str">
        <f>IF(表格1[[#This Row],[B/H/S]]="B", -表格1[[#This Row],[最高]], IF(表格1[[#This Row],[B/H/S]]="S",表格1[[#This Row],[最低]],""))</f>
        <v/>
      </c>
      <c r="K150" s="1" t="str">
        <f>IF(表格1[[#This Row],[買入/賣出價格]]&lt;&gt;"",ABS(表格1[[#This Row],[買入/賣出價格]]),"")</f>
        <v/>
      </c>
    </row>
    <row r="151" spans="1:11" x14ac:dyDescent="0.4">
      <c r="A151" s="3">
        <v>43122</v>
      </c>
      <c r="B151" s="1">
        <v>32276.959999999999</v>
      </c>
      <c r="C151" s="1">
        <v>32417.23</v>
      </c>
      <c r="D151" s="1">
        <v>32046.84</v>
      </c>
      <c r="E151" s="1">
        <v>32393.41</v>
      </c>
      <c r="F151" s="1">
        <v>32393.41</v>
      </c>
      <c r="G151" s="2">
        <v>2880231400</v>
      </c>
      <c r="H151" s="1">
        <v>31745.299975680002</v>
      </c>
      <c r="I151" s="1" t="s">
        <v>9</v>
      </c>
      <c r="J151" s="1" t="str">
        <f>IF(表格1[[#This Row],[B/H/S]]="B", -表格1[[#This Row],[最高]], IF(表格1[[#This Row],[B/H/S]]="S",表格1[[#This Row],[最低]],""))</f>
        <v/>
      </c>
      <c r="K151" s="1" t="str">
        <f>IF(表格1[[#This Row],[買入/賣出價格]]&lt;&gt;"",ABS(表格1[[#This Row],[買入/賣出價格]]),"")</f>
        <v/>
      </c>
    </row>
    <row r="152" spans="1:11" x14ac:dyDescent="0.4">
      <c r="A152" s="3">
        <v>43123</v>
      </c>
      <c r="B152" s="1">
        <v>32606.14</v>
      </c>
      <c r="C152" s="1">
        <v>32930.699999999997</v>
      </c>
      <c r="D152" s="1">
        <v>32554.23</v>
      </c>
      <c r="E152" s="1">
        <v>32930.699999999997</v>
      </c>
      <c r="F152" s="1">
        <v>32930.699999999997</v>
      </c>
      <c r="G152" s="2">
        <v>3954770600</v>
      </c>
      <c r="H152" s="1">
        <v>31893.124581030403</v>
      </c>
      <c r="I152" s="1" t="s">
        <v>9</v>
      </c>
      <c r="J152" s="1" t="str">
        <f>IF(表格1[[#This Row],[B/H/S]]="B", -表格1[[#This Row],[最高]], IF(表格1[[#This Row],[B/H/S]]="S",表格1[[#This Row],[最低]],""))</f>
        <v/>
      </c>
      <c r="K152" s="1" t="str">
        <f>IF(表格1[[#This Row],[買入/賣出價格]]&lt;&gt;"",ABS(表格1[[#This Row],[買入/賣出價格]]),"")</f>
        <v/>
      </c>
    </row>
    <row r="153" spans="1:11" x14ac:dyDescent="0.4">
      <c r="A153" s="3">
        <v>43124</v>
      </c>
      <c r="B153" s="1">
        <v>32907.230000000003</v>
      </c>
      <c r="C153" s="1">
        <v>33018.71</v>
      </c>
      <c r="D153" s="1">
        <v>32728.51</v>
      </c>
      <c r="E153" s="1">
        <v>32958.69</v>
      </c>
      <c r="F153" s="1">
        <v>32958.69</v>
      </c>
      <c r="G153" s="2">
        <v>3897512100</v>
      </c>
      <c r="H153" s="1">
        <v>32046.84</v>
      </c>
      <c r="I153" s="1" t="s">
        <v>9</v>
      </c>
      <c r="J153" s="1" t="str">
        <f>IF(表格1[[#This Row],[B/H/S]]="B", -表格1[[#This Row],[最高]], IF(表格1[[#This Row],[B/H/S]]="S",表格1[[#This Row],[最低]],""))</f>
        <v/>
      </c>
      <c r="K153" s="1" t="str">
        <f>IF(表格1[[#This Row],[買入/賣出價格]]&lt;&gt;"",ABS(表格1[[#This Row],[買入/賣出價格]]),"")</f>
        <v/>
      </c>
    </row>
    <row r="154" spans="1:11" x14ac:dyDescent="0.4">
      <c r="A154" s="3">
        <v>43125</v>
      </c>
      <c r="B154" s="1">
        <v>32979.379999999997</v>
      </c>
      <c r="C154" s="1">
        <v>32998.050000000003</v>
      </c>
      <c r="D154" s="1">
        <v>32650.22</v>
      </c>
      <c r="E154" s="1">
        <v>32654.45</v>
      </c>
      <c r="F154" s="1">
        <v>32654.45</v>
      </c>
      <c r="G154" s="2">
        <v>3554766400</v>
      </c>
      <c r="H154" s="1">
        <v>32260.651399999999</v>
      </c>
      <c r="I154" s="1" t="s">
        <v>9</v>
      </c>
      <c r="J154" s="1" t="str">
        <f>IF(表格1[[#This Row],[B/H/S]]="B", -表格1[[#This Row],[最高]], IF(表格1[[#This Row],[B/H/S]]="S",表格1[[#This Row],[最低]],""))</f>
        <v/>
      </c>
      <c r="K154" s="1" t="str">
        <f>IF(表格1[[#This Row],[買入/賣出價格]]&lt;&gt;"",ABS(表格1[[#This Row],[買入/賣出價格]]),"")</f>
        <v/>
      </c>
    </row>
    <row r="155" spans="1:11" x14ac:dyDescent="0.4">
      <c r="A155" s="3">
        <v>43126</v>
      </c>
      <c r="B155" s="1">
        <v>32836.28</v>
      </c>
      <c r="C155" s="1">
        <v>33223.58</v>
      </c>
      <c r="D155" s="1">
        <v>32794.129999999997</v>
      </c>
      <c r="E155" s="1">
        <v>33154.120000000003</v>
      </c>
      <c r="F155" s="1">
        <v>33154.120000000003</v>
      </c>
      <c r="G155" s="2">
        <v>3892652400</v>
      </c>
      <c r="H155" s="1">
        <v>32427.424292</v>
      </c>
      <c r="I155" s="1" t="s">
        <v>9</v>
      </c>
      <c r="J155" s="1" t="str">
        <f>IF(表格1[[#This Row],[B/H/S]]="B", -表格1[[#This Row],[最高]], IF(表格1[[#This Row],[B/H/S]]="S",表格1[[#This Row],[最低]],""))</f>
        <v/>
      </c>
      <c r="K155" s="1" t="str">
        <f>IF(表格1[[#This Row],[買入/賣出價格]]&lt;&gt;"",ABS(表格1[[#This Row],[買入/賣出價格]]),"")</f>
        <v/>
      </c>
    </row>
    <row r="156" spans="1:11" x14ac:dyDescent="0.4">
      <c r="A156" s="3">
        <v>43129</v>
      </c>
      <c r="B156" s="1">
        <v>33335.480000000003</v>
      </c>
      <c r="C156" s="1">
        <v>33484.080000000002</v>
      </c>
      <c r="D156" s="1">
        <v>32897.040000000001</v>
      </c>
      <c r="E156" s="1">
        <v>32966.89</v>
      </c>
      <c r="F156" s="1">
        <v>32966.89</v>
      </c>
      <c r="G156" s="2">
        <v>3605090600</v>
      </c>
      <c r="H156" s="1">
        <v>32602.57854776</v>
      </c>
      <c r="I156" s="1" t="s">
        <v>9</v>
      </c>
      <c r="J156" s="1" t="str">
        <f>IF(表格1[[#This Row],[B/H/S]]="B", -表格1[[#This Row],[最高]], IF(表格1[[#This Row],[B/H/S]]="S",表格1[[#This Row],[最低]],""))</f>
        <v/>
      </c>
      <c r="K156" s="1" t="str">
        <f>IF(表格1[[#This Row],[買入/賣出價格]]&lt;&gt;"",ABS(表格1[[#This Row],[買入/賣出價格]]),"")</f>
        <v/>
      </c>
    </row>
    <row r="157" spans="1:11" x14ac:dyDescent="0.4">
      <c r="A157" s="3">
        <v>43130</v>
      </c>
      <c r="B157" s="1">
        <v>32751.72</v>
      </c>
      <c r="C157" s="1">
        <v>32976.75</v>
      </c>
      <c r="D157" s="1">
        <v>32501.35</v>
      </c>
      <c r="E157" s="1">
        <v>32607.29</v>
      </c>
      <c r="F157" s="1">
        <v>32607.29</v>
      </c>
      <c r="G157" s="2">
        <v>3177122400</v>
      </c>
      <c r="H157" s="1">
        <v>33484.080000000002</v>
      </c>
      <c r="I157" s="1" t="s">
        <v>11</v>
      </c>
      <c r="J157" s="1">
        <f>IF(表格1[[#This Row],[B/H/S]]="B", -表格1[[#This Row],[最高]], IF(表格1[[#This Row],[B/H/S]]="S",表格1[[#This Row],[最低]],""))</f>
        <v>32501.35</v>
      </c>
      <c r="K157" s="1">
        <f>IF(表格1[[#This Row],[買入/賣出價格]]&lt;&gt;"",ABS(表格1[[#This Row],[買入/賣出價格]]),"")</f>
        <v>32501.35</v>
      </c>
    </row>
    <row r="158" spans="1:11" x14ac:dyDescent="0.4">
      <c r="A158" s="3">
        <v>43131</v>
      </c>
      <c r="B158" s="1">
        <v>32435.759999999998</v>
      </c>
      <c r="C158" s="1">
        <v>32933.980000000003</v>
      </c>
      <c r="D158" s="1">
        <v>32330.39</v>
      </c>
      <c r="E158" s="1">
        <v>32887.269999999997</v>
      </c>
      <c r="F158" s="1">
        <v>32887.269999999997</v>
      </c>
      <c r="G158" s="2">
        <v>3314255500</v>
      </c>
      <c r="H158" s="1">
        <v>33484.080000000002</v>
      </c>
      <c r="I158" s="1" t="s">
        <v>9</v>
      </c>
      <c r="J158" s="1" t="str">
        <f>IF(表格1[[#This Row],[B/H/S]]="B", -表格1[[#This Row],[最高]], IF(表格1[[#This Row],[B/H/S]]="S",表格1[[#This Row],[最低]],""))</f>
        <v/>
      </c>
      <c r="K158" s="1" t="str">
        <f>IF(表格1[[#This Row],[買入/賣出價格]]&lt;&gt;"",ABS(表格1[[#This Row],[買入/賣出價格]]),"")</f>
        <v/>
      </c>
    </row>
    <row r="159" spans="1:11" x14ac:dyDescent="0.4">
      <c r="A159" s="3">
        <v>43132</v>
      </c>
      <c r="B159" s="1">
        <v>32950.300000000003</v>
      </c>
      <c r="C159" s="1">
        <v>33048.04</v>
      </c>
      <c r="D159" s="1">
        <v>32642.09</v>
      </c>
      <c r="E159" s="1">
        <v>32642.09</v>
      </c>
      <c r="F159" s="1">
        <v>32642.09</v>
      </c>
      <c r="G159" s="2">
        <v>2769125200</v>
      </c>
      <c r="H159" s="1">
        <v>33437.932400000005</v>
      </c>
      <c r="I159" s="1" t="s">
        <v>9</v>
      </c>
      <c r="J159" s="1" t="str">
        <f>IF(表格1[[#This Row],[B/H/S]]="B", -表格1[[#This Row],[最高]], IF(表格1[[#This Row],[B/H/S]]="S",表格1[[#This Row],[最低]],""))</f>
        <v/>
      </c>
      <c r="K159" s="1" t="str">
        <f>IF(表格1[[#This Row],[買入/賣出價格]]&lt;&gt;"",ABS(表格1[[#This Row],[買入/賣出價格]]),"")</f>
        <v/>
      </c>
    </row>
    <row r="160" spans="1:11" x14ac:dyDescent="0.4">
      <c r="A160" s="3">
        <v>43133</v>
      </c>
      <c r="B160" s="1">
        <v>32569.01</v>
      </c>
      <c r="C160" s="1">
        <v>32778.51</v>
      </c>
      <c r="D160" s="1">
        <v>32321.42</v>
      </c>
      <c r="E160" s="1">
        <v>32601.78</v>
      </c>
      <c r="F160" s="1">
        <v>32601.78</v>
      </c>
      <c r="G160" s="2">
        <v>2571367100</v>
      </c>
      <c r="H160" s="1">
        <v>33393.630704000003</v>
      </c>
      <c r="I160" s="1" t="s">
        <v>9</v>
      </c>
      <c r="J160" s="1" t="str">
        <f>IF(表格1[[#This Row],[B/H/S]]="B", -表格1[[#This Row],[最高]], IF(表格1[[#This Row],[B/H/S]]="S",表格1[[#This Row],[最低]],""))</f>
        <v/>
      </c>
      <c r="K160" s="1" t="str">
        <f>IF(表格1[[#This Row],[買入/賣出價格]]&lt;&gt;"",ABS(表格1[[#This Row],[買入/賣出價格]]),"")</f>
        <v/>
      </c>
    </row>
    <row r="161" spans="1:11" x14ac:dyDescent="0.4">
      <c r="A161" s="3">
        <v>43136</v>
      </c>
      <c r="B161" s="1">
        <v>31715.56</v>
      </c>
      <c r="C161" s="1">
        <v>32394.87</v>
      </c>
      <c r="D161" s="1">
        <v>31712.02</v>
      </c>
      <c r="E161" s="1">
        <v>32245.22</v>
      </c>
      <c r="F161" s="1">
        <v>32245.22</v>
      </c>
      <c r="G161" s="2">
        <v>3135015100</v>
      </c>
      <c r="H161" s="1">
        <v>33329.298061760004</v>
      </c>
      <c r="I161" s="1" t="s">
        <v>9</v>
      </c>
      <c r="J161" s="1" t="str">
        <f>IF(表格1[[#This Row],[B/H/S]]="B", -表格1[[#This Row],[最高]], IF(表格1[[#This Row],[B/H/S]]="S",表格1[[#This Row],[最低]],""))</f>
        <v/>
      </c>
      <c r="K161" s="1" t="str">
        <f>IF(表格1[[#This Row],[買入/賣出價格]]&lt;&gt;"",ABS(表格1[[#This Row],[買入/賣出價格]]),"")</f>
        <v/>
      </c>
    </row>
    <row r="162" spans="1:11" x14ac:dyDescent="0.4">
      <c r="A162" s="3">
        <v>43137</v>
      </c>
      <c r="B162" s="1">
        <v>31028.68</v>
      </c>
      <c r="C162" s="1">
        <v>31286.03</v>
      </c>
      <c r="D162" s="1">
        <v>30577.83</v>
      </c>
      <c r="E162" s="1">
        <v>30595.42</v>
      </c>
      <c r="F162" s="1">
        <v>30595.42</v>
      </c>
      <c r="G162" s="2">
        <v>5531270100</v>
      </c>
      <c r="H162" s="1">
        <v>33199.915816819201</v>
      </c>
      <c r="I162" s="1" t="s">
        <v>9</v>
      </c>
      <c r="J162" s="1" t="str">
        <f>IF(表格1[[#This Row],[B/H/S]]="B", -表格1[[#This Row],[最高]], IF(表格1[[#This Row],[B/H/S]]="S",表格1[[#This Row],[最低]],""))</f>
        <v/>
      </c>
      <c r="K162" s="1" t="str">
        <f>IF(表格1[[#This Row],[買入/賣出價格]]&lt;&gt;"",ABS(表格1[[#This Row],[買入/賣出價格]]),"")</f>
        <v/>
      </c>
    </row>
    <row r="163" spans="1:11" x14ac:dyDescent="0.4">
      <c r="A163" s="3">
        <v>43138</v>
      </c>
      <c r="B163" s="1">
        <v>31378.35</v>
      </c>
      <c r="C163" s="1">
        <v>31472.47</v>
      </c>
      <c r="D163" s="1">
        <v>30292.15</v>
      </c>
      <c r="E163" s="1">
        <v>30323.200000000001</v>
      </c>
      <c r="F163" s="1">
        <v>30323.200000000001</v>
      </c>
      <c r="G163" s="2">
        <v>4620281500</v>
      </c>
      <c r="H163" s="1">
        <v>32937.707235137277</v>
      </c>
      <c r="I163" s="1" t="s">
        <v>9</v>
      </c>
      <c r="J163" s="1" t="str">
        <f>IF(表格1[[#This Row],[B/H/S]]="B", -表格1[[#This Row],[最高]], IF(表格1[[#This Row],[B/H/S]]="S",表格1[[#This Row],[最低]],""))</f>
        <v/>
      </c>
      <c r="K163" s="1" t="str">
        <f>IF(表格1[[#This Row],[買入/賣出價格]]&lt;&gt;"",ABS(表格1[[#This Row],[買入/賣出價格]]),"")</f>
        <v/>
      </c>
    </row>
    <row r="164" spans="1:11" x14ac:dyDescent="0.4">
      <c r="A164" s="3">
        <v>43139</v>
      </c>
      <c r="B164" s="1">
        <v>30555.8</v>
      </c>
      <c r="C164" s="1">
        <v>30739.11</v>
      </c>
      <c r="D164" s="1">
        <v>30251.32</v>
      </c>
      <c r="E164" s="1">
        <v>30451.27</v>
      </c>
      <c r="F164" s="1">
        <v>30451.27</v>
      </c>
      <c r="G164" s="2">
        <v>3145081200</v>
      </c>
      <c r="H164" s="1">
        <v>32620.240366920803</v>
      </c>
      <c r="I164" s="1" t="s">
        <v>9</v>
      </c>
      <c r="J164" s="1" t="str">
        <f>IF(表格1[[#This Row],[B/H/S]]="B", -表格1[[#This Row],[最高]], IF(表格1[[#This Row],[B/H/S]]="S",表格1[[#This Row],[最低]],""))</f>
        <v/>
      </c>
      <c r="K164" s="1" t="str">
        <f>IF(表格1[[#This Row],[買入/賣出價格]]&lt;&gt;"",ABS(表格1[[#This Row],[買入/賣出價格]]),"")</f>
        <v/>
      </c>
    </row>
    <row r="165" spans="1:11" x14ac:dyDescent="0.4">
      <c r="A165" s="3">
        <v>43140</v>
      </c>
      <c r="B165" s="1">
        <v>29679.21</v>
      </c>
      <c r="C165" s="1">
        <v>29679.21</v>
      </c>
      <c r="D165" s="1">
        <v>29129.26</v>
      </c>
      <c r="E165" s="1">
        <v>29507.42</v>
      </c>
      <c r="F165" s="1">
        <v>29507.42</v>
      </c>
      <c r="G165" s="2">
        <v>5171294500</v>
      </c>
      <c r="H165" s="1">
        <v>32288.591515551892</v>
      </c>
      <c r="I165" s="1" t="s">
        <v>9</v>
      </c>
      <c r="J165" s="1" t="str">
        <f>IF(表格1[[#This Row],[B/H/S]]="B", -表格1[[#This Row],[最高]], IF(表格1[[#This Row],[B/H/S]]="S",表格1[[#This Row],[最低]],""))</f>
        <v/>
      </c>
      <c r="K165" s="1" t="str">
        <f>IF(表格1[[#This Row],[買入/賣出價格]]&lt;&gt;"",ABS(表格1[[#This Row],[買入/賣出價格]]),"")</f>
        <v/>
      </c>
    </row>
    <row r="166" spans="1:11" x14ac:dyDescent="0.4">
      <c r="A166" s="3">
        <v>43143</v>
      </c>
      <c r="B166" s="1">
        <v>29713.08</v>
      </c>
      <c r="C166" s="1">
        <v>29801.52</v>
      </c>
      <c r="D166" s="1">
        <v>29459.63</v>
      </c>
      <c r="E166" s="1">
        <v>29459.63</v>
      </c>
      <c r="F166" s="1">
        <v>29459.63</v>
      </c>
      <c r="G166" s="2">
        <v>2815461600</v>
      </c>
      <c r="H166" s="1">
        <v>31783.09847306359</v>
      </c>
      <c r="I166" s="1" t="s">
        <v>9</v>
      </c>
      <c r="J166" s="1" t="str">
        <f>IF(表格1[[#This Row],[B/H/S]]="B", -表格1[[#This Row],[最高]], IF(表格1[[#This Row],[B/H/S]]="S",表格1[[#This Row],[最低]],""))</f>
        <v/>
      </c>
      <c r="K166" s="1" t="str">
        <f>IF(表格1[[#This Row],[買入/賣出價格]]&lt;&gt;"",ABS(表格1[[#This Row],[買入/賣出價格]]),"")</f>
        <v/>
      </c>
    </row>
    <row r="167" spans="1:11" x14ac:dyDescent="0.4">
      <c r="A167" s="3">
        <v>43144</v>
      </c>
      <c r="B167" s="1">
        <v>29850.15</v>
      </c>
      <c r="C167" s="1">
        <v>30169</v>
      </c>
      <c r="D167" s="1">
        <v>29783.1</v>
      </c>
      <c r="E167" s="1">
        <v>29839.53</v>
      </c>
      <c r="F167" s="1">
        <v>29839.53</v>
      </c>
      <c r="G167" s="2">
        <v>2709197500</v>
      </c>
      <c r="H167" s="1">
        <v>31358.484317373415</v>
      </c>
      <c r="I167" s="1" t="s">
        <v>9</v>
      </c>
      <c r="J167" s="1" t="str">
        <f>IF(表格1[[#This Row],[B/H/S]]="B", -表格1[[#This Row],[最高]], IF(表格1[[#This Row],[B/H/S]]="S",表格1[[#This Row],[最低]],""))</f>
        <v/>
      </c>
      <c r="K167" s="1" t="str">
        <f>IF(表格1[[#This Row],[買入/賣出價格]]&lt;&gt;"",ABS(表格1[[#This Row],[買入/賣出價格]]),"")</f>
        <v/>
      </c>
    </row>
    <row r="168" spans="1:11" x14ac:dyDescent="0.4">
      <c r="A168" s="3">
        <v>43145</v>
      </c>
      <c r="B168" s="1">
        <v>30024.47</v>
      </c>
      <c r="C168" s="1">
        <v>30637.23</v>
      </c>
      <c r="D168" s="1">
        <v>29968.54</v>
      </c>
      <c r="E168" s="1">
        <v>30515.599999999999</v>
      </c>
      <c r="F168" s="1">
        <v>30515.599999999999</v>
      </c>
      <c r="G168" s="2">
        <v>2408651200</v>
      </c>
      <c r="H168" s="1">
        <v>31001.808426593667</v>
      </c>
      <c r="I168" s="1" t="s">
        <v>9</v>
      </c>
      <c r="J168" s="1" t="str">
        <f>IF(表格1[[#This Row],[B/H/S]]="B", -表格1[[#This Row],[最高]], IF(表格1[[#This Row],[B/H/S]]="S",表格1[[#This Row],[最低]],""))</f>
        <v/>
      </c>
      <c r="K168" s="1" t="str">
        <f>IF(表格1[[#This Row],[買入/賣出價格]]&lt;&gt;"",ABS(表格1[[#This Row],[買入/賣出價格]]),"")</f>
        <v/>
      </c>
    </row>
    <row r="169" spans="1:11" x14ac:dyDescent="0.4">
      <c r="A169" s="3">
        <v>43146</v>
      </c>
      <c r="B169" s="1">
        <v>30958.71</v>
      </c>
      <c r="C169" s="1">
        <v>31145.1</v>
      </c>
      <c r="D169" s="1">
        <v>30816.65</v>
      </c>
      <c r="E169" s="1">
        <v>31115.43</v>
      </c>
      <c r="F169" s="1">
        <v>31115.43</v>
      </c>
      <c r="G169" s="2">
        <v>2070618100</v>
      </c>
      <c r="H169" s="1">
        <v>29783.1</v>
      </c>
      <c r="I169" s="1" t="s">
        <v>10</v>
      </c>
      <c r="J169" s="1">
        <f>IF(表格1[[#This Row],[B/H/S]]="B", -表格1[[#This Row],[最高]], IF(表格1[[#This Row],[B/H/S]]="S",表格1[[#This Row],[最低]],""))</f>
        <v>-31145.1</v>
      </c>
      <c r="K169" s="1">
        <f>IF(表格1[[#This Row],[買入/賣出價格]]&lt;&gt;"",ABS(表格1[[#This Row],[買入/賣出價格]]),"")</f>
        <v>31145.1</v>
      </c>
    </row>
    <row r="170" spans="1:11" x14ac:dyDescent="0.4">
      <c r="A170" s="3">
        <v>43151</v>
      </c>
      <c r="B170" s="1">
        <v>31165.29</v>
      </c>
      <c r="C170" s="1">
        <v>31339.69</v>
      </c>
      <c r="D170" s="1">
        <v>30720.48</v>
      </c>
      <c r="E170" s="1">
        <v>30873.63</v>
      </c>
      <c r="F170" s="1">
        <v>30873.63</v>
      </c>
      <c r="G170" s="2">
        <v>2033432100</v>
      </c>
      <c r="H170" s="1">
        <v>29810.34</v>
      </c>
      <c r="I170" s="1" t="s">
        <v>9</v>
      </c>
      <c r="J170" s="1" t="str">
        <f>IF(表格1[[#This Row],[B/H/S]]="B", -表格1[[#This Row],[最高]], IF(表格1[[#This Row],[B/H/S]]="S",表格1[[#This Row],[最低]],""))</f>
        <v/>
      </c>
      <c r="K170" s="1" t="str">
        <f>IF(表格1[[#This Row],[買入/賣出價格]]&lt;&gt;"",ABS(表格1[[#This Row],[買入/賣出價格]]),"")</f>
        <v/>
      </c>
    </row>
    <row r="171" spans="1:11" x14ac:dyDescent="0.4">
      <c r="A171" s="3">
        <v>43152</v>
      </c>
      <c r="B171" s="1">
        <v>31050.52</v>
      </c>
      <c r="C171" s="1">
        <v>31477.85</v>
      </c>
      <c r="D171" s="1">
        <v>30885.95</v>
      </c>
      <c r="E171" s="1">
        <v>31431.89</v>
      </c>
      <c r="F171" s="1">
        <v>31431.89</v>
      </c>
      <c r="G171" s="2">
        <v>1933845300</v>
      </c>
      <c r="H171" s="1">
        <v>29871.513999999999</v>
      </c>
      <c r="I171" s="1" t="s">
        <v>9</v>
      </c>
      <c r="J171" s="1" t="str">
        <f>IF(表格1[[#This Row],[B/H/S]]="B", -表格1[[#This Row],[最高]], IF(表格1[[#This Row],[B/H/S]]="S",表格1[[#This Row],[最低]],""))</f>
        <v/>
      </c>
      <c r="K171" s="1" t="str">
        <f>IF(表格1[[#This Row],[買入/賣出價格]]&lt;&gt;"",ABS(表格1[[#This Row],[買入/賣出價格]]),"")</f>
        <v/>
      </c>
    </row>
    <row r="172" spans="1:11" x14ac:dyDescent="0.4">
      <c r="A172" s="3">
        <v>43153</v>
      </c>
      <c r="B172" s="1">
        <v>31084.45</v>
      </c>
      <c r="C172" s="1">
        <v>31195.27</v>
      </c>
      <c r="D172" s="1">
        <v>30930.1</v>
      </c>
      <c r="E172" s="1">
        <v>30965.68</v>
      </c>
      <c r="F172" s="1">
        <v>30965.68</v>
      </c>
      <c r="G172" s="2">
        <v>2391326700</v>
      </c>
      <c r="H172" s="1">
        <v>29967.89416</v>
      </c>
      <c r="I172" s="1" t="s">
        <v>9</v>
      </c>
      <c r="J172" s="1" t="str">
        <f>IF(表格1[[#This Row],[B/H/S]]="B", -表格1[[#This Row],[最高]], IF(表格1[[#This Row],[B/H/S]]="S",表格1[[#This Row],[最低]],""))</f>
        <v/>
      </c>
      <c r="K172" s="1" t="str">
        <f>IF(表格1[[#This Row],[買入/賣出價格]]&lt;&gt;"",ABS(表格1[[#This Row],[買入/賣出價格]]),"")</f>
        <v/>
      </c>
    </row>
    <row r="173" spans="1:11" x14ac:dyDescent="0.4">
      <c r="A173" s="3">
        <v>43154</v>
      </c>
      <c r="B173" s="1">
        <v>31289.08</v>
      </c>
      <c r="C173" s="1">
        <v>31386.81</v>
      </c>
      <c r="D173" s="1">
        <v>31149.32</v>
      </c>
      <c r="E173" s="1">
        <v>31267.17</v>
      </c>
      <c r="F173" s="1">
        <v>31267.17</v>
      </c>
      <c r="G173" s="2">
        <v>1667179100</v>
      </c>
      <c r="H173" s="1">
        <v>30058.491510399999</v>
      </c>
      <c r="I173" s="1" t="s">
        <v>9</v>
      </c>
      <c r="J173" s="1" t="str">
        <f>IF(表格1[[#This Row],[B/H/S]]="B", -表格1[[#This Row],[最高]], IF(表格1[[#This Row],[B/H/S]]="S",表格1[[#This Row],[最低]],""))</f>
        <v/>
      </c>
      <c r="K173" s="1" t="str">
        <f>IF(表格1[[#This Row],[買入/賣出價格]]&lt;&gt;"",ABS(表格1[[#This Row],[買入/賣出價格]]),"")</f>
        <v/>
      </c>
    </row>
    <row r="174" spans="1:11" x14ac:dyDescent="0.4">
      <c r="A174" s="3">
        <v>43157</v>
      </c>
      <c r="B174" s="1">
        <v>31528.29</v>
      </c>
      <c r="C174" s="1">
        <v>31567.46</v>
      </c>
      <c r="D174" s="1">
        <v>31273.95</v>
      </c>
      <c r="E174" s="1">
        <v>31498.6</v>
      </c>
      <c r="F174" s="1">
        <v>31498.6</v>
      </c>
      <c r="G174" s="2">
        <v>2025591300</v>
      </c>
      <c r="H174" s="1">
        <v>30143.653019776</v>
      </c>
      <c r="I174" s="1" t="s">
        <v>9</v>
      </c>
      <c r="J174" s="1" t="str">
        <f>IF(表格1[[#This Row],[B/H/S]]="B", -表格1[[#This Row],[最高]], IF(表格1[[#This Row],[B/H/S]]="S",表格1[[#This Row],[最低]],""))</f>
        <v/>
      </c>
      <c r="K174" s="1" t="str">
        <f>IF(表格1[[#This Row],[買入/賣出價格]]&lt;&gt;"",ABS(表格1[[#This Row],[買入/賣出價格]]),"")</f>
        <v/>
      </c>
    </row>
    <row r="175" spans="1:11" x14ac:dyDescent="0.4">
      <c r="A175" s="3">
        <v>43158</v>
      </c>
      <c r="B175" s="1">
        <v>31790.85</v>
      </c>
      <c r="C175" s="1">
        <v>31798.98</v>
      </c>
      <c r="D175" s="1">
        <v>31141.52</v>
      </c>
      <c r="E175" s="1">
        <v>31268.66</v>
      </c>
      <c r="F175" s="1">
        <v>31268.66</v>
      </c>
      <c r="G175" s="2">
        <v>2579124300</v>
      </c>
      <c r="H175" s="1">
        <v>30257.557578193919</v>
      </c>
      <c r="I175" s="1" t="s">
        <v>9</v>
      </c>
      <c r="J175" s="1" t="str">
        <f>IF(表格1[[#This Row],[B/H/S]]="B", -表格1[[#This Row],[最高]], IF(表格1[[#This Row],[B/H/S]]="S",表格1[[#This Row],[最低]],""))</f>
        <v/>
      </c>
      <c r="K175" s="1" t="str">
        <f>IF(表格1[[#This Row],[買入/賣出價格]]&lt;&gt;"",ABS(表格1[[#This Row],[買入/賣出價格]]),"")</f>
        <v/>
      </c>
    </row>
    <row r="176" spans="1:11" x14ac:dyDescent="0.4">
      <c r="A176" s="3">
        <v>43159</v>
      </c>
      <c r="B176" s="1">
        <v>31037.41</v>
      </c>
      <c r="C176" s="1">
        <v>31061.759999999998</v>
      </c>
      <c r="D176" s="1">
        <v>30703.9</v>
      </c>
      <c r="E176" s="1">
        <v>30844.720000000001</v>
      </c>
      <c r="F176" s="1">
        <v>30844.720000000001</v>
      </c>
      <c r="G176" s="2">
        <v>2407877200</v>
      </c>
      <c r="H176" s="1">
        <v>30411.699820374528</v>
      </c>
      <c r="I176" s="1" t="s">
        <v>9</v>
      </c>
      <c r="J176" s="1" t="str">
        <f>IF(表格1[[#This Row],[B/H/S]]="B", -表格1[[#This Row],[最高]], IF(表格1[[#This Row],[B/H/S]]="S",表格1[[#This Row],[最低]],""))</f>
        <v/>
      </c>
      <c r="K176" s="1" t="str">
        <f>IF(表格1[[#This Row],[買入/賣出價格]]&lt;&gt;"",ABS(表格1[[#This Row],[買入/賣出價格]]),"")</f>
        <v/>
      </c>
    </row>
    <row r="177" spans="1:11" x14ac:dyDescent="0.4">
      <c r="A177" s="3">
        <v>43160</v>
      </c>
      <c r="B177" s="1">
        <v>30476.99</v>
      </c>
      <c r="C177" s="1">
        <v>31081.68</v>
      </c>
      <c r="D177" s="1">
        <v>30453.82</v>
      </c>
      <c r="E177" s="1">
        <v>31044.25</v>
      </c>
      <c r="F177" s="1">
        <v>31044.25</v>
      </c>
      <c r="G177" s="2">
        <v>2116269800</v>
      </c>
      <c r="H177" s="1">
        <v>31798.98</v>
      </c>
      <c r="I177" s="1" t="s">
        <v>11</v>
      </c>
      <c r="J177" s="1">
        <f>IF(表格1[[#This Row],[B/H/S]]="B", -表格1[[#This Row],[最高]], IF(表格1[[#This Row],[B/H/S]]="S",表格1[[#This Row],[最低]],""))</f>
        <v>30453.82</v>
      </c>
      <c r="K177" s="1">
        <f>IF(表格1[[#This Row],[買入/賣出價格]]&lt;&gt;"",ABS(表格1[[#This Row],[買入/賣出價格]]),"")</f>
        <v>30453.82</v>
      </c>
    </row>
    <row r="178" spans="1:11" x14ac:dyDescent="0.4">
      <c r="A178" s="3">
        <v>43161</v>
      </c>
      <c r="B178" s="1">
        <v>30611.1</v>
      </c>
      <c r="C178" s="1">
        <v>30670.94</v>
      </c>
      <c r="D178" s="1">
        <v>30477.95</v>
      </c>
      <c r="E178" s="1">
        <v>30583.45</v>
      </c>
      <c r="F178" s="1">
        <v>30583.45</v>
      </c>
      <c r="G178" s="2">
        <v>2955637100</v>
      </c>
      <c r="H178" s="1">
        <v>31772.076799999999</v>
      </c>
      <c r="I178" s="1" t="s">
        <v>9</v>
      </c>
      <c r="J178" s="1" t="str">
        <f>IF(表格1[[#This Row],[B/H/S]]="B", -表格1[[#This Row],[最高]], IF(表格1[[#This Row],[B/H/S]]="S",表格1[[#This Row],[最低]],""))</f>
        <v/>
      </c>
      <c r="K178" s="1" t="str">
        <f>IF(表格1[[#This Row],[買入/賣出價格]]&lt;&gt;"",ABS(表格1[[#This Row],[買入/賣出價格]]),"")</f>
        <v/>
      </c>
    </row>
    <row r="179" spans="1:11" x14ac:dyDescent="0.4">
      <c r="A179" s="3">
        <v>43164</v>
      </c>
      <c r="B179" s="1">
        <v>30524.26</v>
      </c>
      <c r="C179" s="1">
        <v>30679.47</v>
      </c>
      <c r="D179" s="1">
        <v>29852.42</v>
      </c>
      <c r="E179" s="1">
        <v>29886.39</v>
      </c>
      <c r="F179" s="1">
        <v>29886.39</v>
      </c>
      <c r="G179" s="2">
        <v>2279546200</v>
      </c>
      <c r="H179" s="1">
        <v>31745.711663999999</v>
      </c>
      <c r="I179" s="1" t="s">
        <v>9</v>
      </c>
      <c r="J179" s="1" t="str">
        <f>IF(表格1[[#This Row],[B/H/S]]="B", -表格1[[#This Row],[最高]], IF(表格1[[#This Row],[B/H/S]]="S",表格1[[#This Row],[最低]],""))</f>
        <v/>
      </c>
      <c r="K179" s="1" t="str">
        <f>IF(表格1[[#This Row],[買入/賣出價格]]&lt;&gt;"",ABS(表格1[[#This Row],[買入/賣出價格]]),"")</f>
        <v/>
      </c>
    </row>
    <row r="180" spans="1:11" x14ac:dyDescent="0.4">
      <c r="A180" s="3">
        <v>43165</v>
      </c>
      <c r="B180" s="1">
        <v>30380.959999999999</v>
      </c>
      <c r="C180" s="1">
        <v>30620.06</v>
      </c>
      <c r="D180" s="1">
        <v>30129.8</v>
      </c>
      <c r="E180" s="1">
        <v>30510.73</v>
      </c>
      <c r="F180" s="1">
        <v>30510.73</v>
      </c>
      <c r="G180" s="2">
        <v>2270403000</v>
      </c>
      <c r="H180" s="1">
        <v>31669.979997439998</v>
      </c>
      <c r="I180" s="1" t="s">
        <v>9</v>
      </c>
      <c r="J180" s="1" t="str">
        <f>IF(表格1[[#This Row],[B/H/S]]="B", -表格1[[#This Row],[最高]], IF(表格1[[#This Row],[B/H/S]]="S",表格1[[#This Row],[最低]],""))</f>
        <v/>
      </c>
      <c r="K180" s="1" t="str">
        <f>IF(表格1[[#This Row],[買入/賣出價格]]&lt;&gt;"",ABS(表格1[[#This Row],[買入/賣出價格]]),"")</f>
        <v/>
      </c>
    </row>
    <row r="181" spans="1:11" x14ac:dyDescent="0.4">
      <c r="A181" s="3">
        <v>43166</v>
      </c>
      <c r="B181" s="1">
        <v>30323.77</v>
      </c>
      <c r="C181" s="1">
        <v>30673.08</v>
      </c>
      <c r="D181" s="1">
        <v>30117.4</v>
      </c>
      <c r="E181" s="1">
        <v>30196.92</v>
      </c>
      <c r="F181" s="1">
        <v>30196.92</v>
      </c>
      <c r="G181" s="2">
        <v>2135337500</v>
      </c>
      <c r="H181" s="1">
        <v>31597.277597542397</v>
      </c>
      <c r="I181" s="1" t="s">
        <v>9</v>
      </c>
      <c r="J181" s="1" t="str">
        <f>IF(表格1[[#This Row],[B/H/S]]="B", -表格1[[#This Row],[最高]], IF(表格1[[#This Row],[B/H/S]]="S",表格1[[#This Row],[最低]],""))</f>
        <v/>
      </c>
      <c r="K181" s="1" t="str">
        <f>IF(表格1[[#This Row],[買入/賣出價格]]&lt;&gt;"",ABS(表格1[[#This Row],[買入/賣出價格]]),"")</f>
        <v/>
      </c>
    </row>
    <row r="182" spans="1:11" x14ac:dyDescent="0.4">
      <c r="A182" s="3">
        <v>43167</v>
      </c>
      <c r="B182" s="1">
        <v>30523.68</v>
      </c>
      <c r="C182" s="1">
        <v>30724.03</v>
      </c>
      <c r="D182" s="1">
        <v>30428.61</v>
      </c>
      <c r="E182" s="1">
        <v>30654.52</v>
      </c>
      <c r="F182" s="1">
        <v>30654.52</v>
      </c>
      <c r="G182" s="2">
        <v>1529390000</v>
      </c>
      <c r="H182" s="1">
        <v>31527.4832936407</v>
      </c>
      <c r="I182" s="1" t="s">
        <v>9</v>
      </c>
      <c r="J182" s="1" t="str">
        <f>IF(表格1[[#This Row],[B/H/S]]="B", -表格1[[#This Row],[最高]], IF(表格1[[#This Row],[B/H/S]]="S",表格1[[#This Row],[最低]],""))</f>
        <v/>
      </c>
      <c r="K182" s="1" t="str">
        <f>IF(表格1[[#This Row],[買入/賣出價格]]&lt;&gt;"",ABS(表格1[[#This Row],[買入/賣出價格]]),"")</f>
        <v/>
      </c>
    </row>
    <row r="183" spans="1:11" x14ac:dyDescent="0.4">
      <c r="A183" s="3">
        <v>43168</v>
      </c>
      <c r="B183" s="1">
        <v>30858.27</v>
      </c>
      <c r="C183" s="1">
        <v>30996.21</v>
      </c>
      <c r="D183" s="1">
        <v>30840.799999999999</v>
      </c>
      <c r="E183" s="1">
        <v>30996.21</v>
      </c>
      <c r="F183" s="1">
        <v>30996.21</v>
      </c>
      <c r="G183" s="2">
        <v>1470749100</v>
      </c>
      <c r="H183" s="1">
        <v>31460.480761895073</v>
      </c>
      <c r="I183" s="1" t="s">
        <v>9</v>
      </c>
      <c r="J183" s="1" t="str">
        <f>IF(表格1[[#This Row],[B/H/S]]="B", -表格1[[#This Row],[最高]], IF(表格1[[#This Row],[B/H/S]]="S",表格1[[#This Row],[最低]],""))</f>
        <v/>
      </c>
      <c r="K183" s="1" t="str">
        <f>IF(表格1[[#This Row],[買入/賣出價格]]&lt;&gt;"",ABS(表格1[[#This Row],[買入/賣出價格]]),"")</f>
        <v/>
      </c>
    </row>
    <row r="184" spans="1:11" x14ac:dyDescent="0.4">
      <c r="A184" s="3">
        <v>43171</v>
      </c>
      <c r="B184" s="1">
        <v>31536.3</v>
      </c>
      <c r="C184" s="1">
        <v>31607.58</v>
      </c>
      <c r="D184" s="1">
        <v>31342.48</v>
      </c>
      <c r="E184" s="1">
        <v>31594.33</v>
      </c>
      <c r="F184" s="1">
        <v>31594.33</v>
      </c>
      <c r="G184" s="2">
        <v>2173275800</v>
      </c>
      <c r="H184" s="1">
        <v>30428.61</v>
      </c>
      <c r="I184" s="1" t="s">
        <v>10</v>
      </c>
      <c r="J184" s="1">
        <f>IF(表格1[[#This Row],[B/H/S]]="B", -表格1[[#This Row],[最高]], IF(表格1[[#This Row],[B/H/S]]="S",表格1[[#This Row],[最低]],""))</f>
        <v>-31607.58</v>
      </c>
      <c r="K184" s="1">
        <f>IF(表格1[[#This Row],[買入/賣出價格]]&lt;&gt;"",ABS(表格1[[#This Row],[買入/賣出價格]]),"")</f>
        <v>31607.58</v>
      </c>
    </row>
    <row r="185" spans="1:11" x14ac:dyDescent="0.4">
      <c r="A185" s="3">
        <v>43172</v>
      </c>
      <c r="B185" s="1">
        <v>31570.2</v>
      </c>
      <c r="C185" s="1">
        <v>31709.99</v>
      </c>
      <c r="D185" s="1">
        <v>31461.47</v>
      </c>
      <c r="E185" s="1">
        <v>31601.45</v>
      </c>
      <c r="F185" s="1">
        <v>31601.45</v>
      </c>
      <c r="G185" s="2">
        <v>2111965400</v>
      </c>
      <c r="H185" s="1">
        <v>30452.189399999999</v>
      </c>
      <c r="I185" s="1" t="s">
        <v>9</v>
      </c>
      <c r="J185" s="1" t="str">
        <f>IF(表格1[[#This Row],[B/H/S]]="B", -表格1[[#This Row],[最高]], IF(表格1[[#This Row],[B/H/S]]="S",表格1[[#This Row],[最低]],""))</f>
        <v/>
      </c>
      <c r="K185" s="1" t="str">
        <f>IF(表格1[[#This Row],[買入/賣出價格]]&lt;&gt;"",ABS(表格1[[#This Row],[買入/賣出價格]]),"")</f>
        <v/>
      </c>
    </row>
    <row r="186" spans="1:11" x14ac:dyDescent="0.4">
      <c r="A186" s="3">
        <v>43173</v>
      </c>
      <c r="B186" s="1">
        <v>31321.79</v>
      </c>
      <c r="C186" s="1">
        <v>31453.48</v>
      </c>
      <c r="D186" s="1">
        <v>31141.85</v>
      </c>
      <c r="E186" s="1">
        <v>31435.01</v>
      </c>
      <c r="F186" s="1">
        <v>31435.01</v>
      </c>
      <c r="G186" s="2">
        <v>1707584900</v>
      </c>
      <c r="H186" s="1">
        <v>30502.501423999998</v>
      </c>
      <c r="I186" s="1" t="s">
        <v>9</v>
      </c>
      <c r="J186" s="1" t="str">
        <f>IF(表格1[[#This Row],[B/H/S]]="B", -表格1[[#This Row],[最高]], IF(表格1[[#This Row],[B/H/S]]="S",表格1[[#This Row],[最低]],""))</f>
        <v/>
      </c>
      <c r="K186" s="1" t="str">
        <f>IF(表格1[[#This Row],[買入/賣出價格]]&lt;&gt;"",ABS(表格1[[#This Row],[買入/賣出價格]]),"")</f>
        <v/>
      </c>
    </row>
    <row r="187" spans="1:11" x14ac:dyDescent="0.4">
      <c r="A187" s="3">
        <v>43174</v>
      </c>
      <c r="B187" s="1">
        <v>31181.15</v>
      </c>
      <c r="C187" s="1">
        <v>31583.38</v>
      </c>
      <c r="D187" s="1">
        <v>31121.66</v>
      </c>
      <c r="E187" s="1">
        <v>31541.1</v>
      </c>
      <c r="F187" s="1">
        <v>31541.1</v>
      </c>
      <c r="G187" s="2">
        <v>1496758200</v>
      </c>
      <c r="H187" s="1">
        <v>30550.800967039999</v>
      </c>
      <c r="I187" s="1" t="s">
        <v>9</v>
      </c>
      <c r="J187" s="1" t="str">
        <f>IF(表格1[[#This Row],[B/H/S]]="B", -表格1[[#This Row],[最高]], IF(表格1[[#This Row],[B/H/S]]="S",表格1[[#This Row],[最低]],""))</f>
        <v/>
      </c>
      <c r="K187" s="1" t="str">
        <f>IF(表格1[[#This Row],[買入/賣出價格]]&lt;&gt;"",ABS(表格1[[#This Row],[買入/賣出價格]]),"")</f>
        <v/>
      </c>
    </row>
    <row r="188" spans="1:11" x14ac:dyDescent="0.4">
      <c r="A188" s="3">
        <v>43175</v>
      </c>
      <c r="B188" s="1">
        <v>31363.03</v>
      </c>
      <c r="C188" s="1">
        <v>31564.78</v>
      </c>
      <c r="D188" s="1">
        <v>31337.45</v>
      </c>
      <c r="E188" s="1">
        <v>31501.97</v>
      </c>
      <c r="F188" s="1">
        <v>31501.97</v>
      </c>
      <c r="G188" s="2">
        <v>2345452800</v>
      </c>
      <c r="H188" s="1">
        <v>30597.168528358397</v>
      </c>
      <c r="I188" s="1" t="s">
        <v>9</v>
      </c>
      <c r="J188" s="1" t="str">
        <f>IF(表格1[[#This Row],[B/H/S]]="B", -表格1[[#This Row],[最高]], IF(表格1[[#This Row],[B/H/S]]="S",表格1[[#This Row],[最低]],""))</f>
        <v/>
      </c>
      <c r="K188" s="1" t="str">
        <f>IF(表格1[[#This Row],[買入/賣出價格]]&lt;&gt;"",ABS(表格1[[#This Row],[買入/賣出價格]]),"")</f>
        <v/>
      </c>
    </row>
    <row r="189" spans="1:11" x14ac:dyDescent="0.4">
      <c r="A189" s="3">
        <v>43178</v>
      </c>
      <c r="B189" s="1">
        <v>31370.47</v>
      </c>
      <c r="C189" s="1">
        <v>31656.3</v>
      </c>
      <c r="D189" s="1">
        <v>31244.62</v>
      </c>
      <c r="E189" s="1">
        <v>31513.759999999998</v>
      </c>
      <c r="F189" s="1">
        <v>31513.759999999998</v>
      </c>
      <c r="G189" s="2">
        <v>1440844700</v>
      </c>
      <c r="H189" s="1">
        <v>30641.68138722406</v>
      </c>
      <c r="I189" s="1" t="s">
        <v>9</v>
      </c>
      <c r="J189" s="1" t="str">
        <f>IF(表格1[[#This Row],[B/H/S]]="B", -表格1[[#This Row],[最高]], IF(表格1[[#This Row],[B/H/S]]="S",表格1[[#This Row],[最低]],""))</f>
        <v/>
      </c>
      <c r="K189" s="1" t="str">
        <f>IF(表格1[[#This Row],[買入/賣出價格]]&lt;&gt;"",ABS(表格1[[#This Row],[買入/賣出價格]]),"")</f>
        <v/>
      </c>
    </row>
    <row r="190" spans="1:11" x14ac:dyDescent="0.4">
      <c r="A190" s="3">
        <v>43179</v>
      </c>
      <c r="B190" s="1">
        <v>31315.42</v>
      </c>
      <c r="C190" s="1">
        <v>31576.05</v>
      </c>
      <c r="D190" s="1">
        <v>31183.4</v>
      </c>
      <c r="E190" s="1">
        <v>31549.93</v>
      </c>
      <c r="F190" s="1">
        <v>31549.93</v>
      </c>
      <c r="G190" s="2">
        <v>1746878600</v>
      </c>
      <c r="H190" s="1">
        <v>30684.413731735098</v>
      </c>
      <c r="I190" s="1" t="s">
        <v>9</v>
      </c>
      <c r="J190" s="1" t="str">
        <f>IF(表格1[[#This Row],[B/H/S]]="B", -表格1[[#This Row],[最高]], IF(表格1[[#This Row],[B/H/S]]="S",表格1[[#This Row],[最低]],""))</f>
        <v/>
      </c>
      <c r="K190" s="1" t="str">
        <f>IF(表格1[[#This Row],[買入/賣出價格]]&lt;&gt;"",ABS(表格1[[#This Row],[買入/賣出價格]]),"")</f>
        <v/>
      </c>
    </row>
    <row r="191" spans="1:11" x14ac:dyDescent="0.4">
      <c r="A191" s="3">
        <v>43180</v>
      </c>
      <c r="B191" s="1">
        <v>31811.98</v>
      </c>
      <c r="C191" s="1">
        <v>31978.14</v>
      </c>
      <c r="D191" s="1">
        <v>31381.54</v>
      </c>
      <c r="E191" s="1">
        <v>31414.52</v>
      </c>
      <c r="F191" s="1">
        <v>31414.52</v>
      </c>
      <c r="G191" s="2">
        <v>2309098300</v>
      </c>
      <c r="H191" s="1">
        <v>30725.436782465695</v>
      </c>
      <c r="I191" s="1" t="s">
        <v>9</v>
      </c>
      <c r="J191" s="1" t="str">
        <f>IF(表格1[[#This Row],[B/H/S]]="B", -表格1[[#This Row],[最高]], IF(表格1[[#This Row],[B/H/S]]="S",表格1[[#This Row],[最低]],""))</f>
        <v/>
      </c>
      <c r="K191" s="1" t="str">
        <f>IF(表格1[[#This Row],[買入/賣出價格]]&lt;&gt;"",ABS(表格1[[#This Row],[買入/賣出價格]]),"")</f>
        <v/>
      </c>
    </row>
    <row r="192" spans="1:11" x14ac:dyDescent="0.4">
      <c r="A192" s="3">
        <v>43181</v>
      </c>
      <c r="B192" s="1">
        <v>31575.93</v>
      </c>
      <c r="C192" s="1">
        <v>31686.67</v>
      </c>
      <c r="D192" s="1">
        <v>31018.44</v>
      </c>
      <c r="E192" s="1">
        <v>31071.05</v>
      </c>
      <c r="F192" s="1">
        <v>31071.05</v>
      </c>
      <c r="G192" s="2">
        <v>2103533300</v>
      </c>
      <c r="H192" s="1">
        <v>30800.598975517754</v>
      </c>
      <c r="I192" s="1" t="s">
        <v>9</v>
      </c>
      <c r="J192" s="1" t="str">
        <f>IF(表格1[[#This Row],[B/H/S]]="B", -表格1[[#This Row],[最高]], IF(表格1[[#This Row],[B/H/S]]="S",表格1[[#This Row],[最低]],""))</f>
        <v/>
      </c>
      <c r="K192" s="1" t="str">
        <f>IF(表格1[[#This Row],[買入/賣出價格]]&lt;&gt;"",ABS(表格1[[#This Row],[買入/賣出價格]]),"")</f>
        <v/>
      </c>
    </row>
    <row r="193" spans="1:11" x14ac:dyDescent="0.4">
      <c r="A193" s="3">
        <v>43182</v>
      </c>
      <c r="B193" s="1">
        <v>29930.23</v>
      </c>
      <c r="C193" s="1">
        <v>30320.31</v>
      </c>
      <c r="D193" s="1">
        <v>29930.23</v>
      </c>
      <c r="E193" s="1">
        <v>30309.29</v>
      </c>
      <c r="F193" s="1">
        <v>30309.29</v>
      </c>
      <c r="G193" s="2">
        <v>3522395400</v>
      </c>
      <c r="H193" s="1">
        <v>31978.14</v>
      </c>
      <c r="I193" s="1" t="s">
        <v>11</v>
      </c>
      <c r="J193" s="1">
        <f>IF(表格1[[#This Row],[B/H/S]]="B", -表格1[[#This Row],[最高]], IF(表格1[[#This Row],[B/H/S]]="S",表格1[[#This Row],[最低]],""))</f>
        <v>29930.23</v>
      </c>
      <c r="K193" s="1">
        <f>IF(表格1[[#This Row],[買入/賣出價格]]&lt;&gt;"",ABS(表格1[[#This Row],[買入/賣出價格]]),"")</f>
        <v>29930.23</v>
      </c>
    </row>
    <row r="194" spans="1:11" x14ac:dyDescent="0.4">
      <c r="A194" s="3">
        <v>43185</v>
      </c>
      <c r="B194" s="1">
        <v>30267.07</v>
      </c>
      <c r="C194" s="1">
        <v>30548.77</v>
      </c>
      <c r="D194" s="1">
        <v>29995.16</v>
      </c>
      <c r="E194" s="1">
        <v>30548.77</v>
      </c>
      <c r="F194" s="1">
        <v>30548.77</v>
      </c>
      <c r="G194" s="2">
        <v>2317282800</v>
      </c>
      <c r="H194" s="1">
        <v>31937.181799999998</v>
      </c>
      <c r="I194" s="1" t="s">
        <v>9</v>
      </c>
      <c r="J194" s="1" t="str">
        <f>IF(表格1[[#This Row],[B/H/S]]="B", -表格1[[#This Row],[最高]], IF(表格1[[#This Row],[B/H/S]]="S",表格1[[#This Row],[最低]],""))</f>
        <v/>
      </c>
      <c r="K194" s="1" t="str">
        <f>IF(表格1[[#This Row],[買入/賣出價格]]&lt;&gt;"",ABS(表格1[[#This Row],[買入/賣出價格]]),"")</f>
        <v/>
      </c>
    </row>
    <row r="195" spans="1:11" x14ac:dyDescent="0.4">
      <c r="A195" s="3">
        <v>43186</v>
      </c>
      <c r="B195" s="1">
        <v>30985.75</v>
      </c>
      <c r="C195" s="1">
        <v>30985.75</v>
      </c>
      <c r="D195" s="1">
        <v>30738.76</v>
      </c>
      <c r="E195" s="1">
        <v>30790.83</v>
      </c>
      <c r="F195" s="1">
        <v>30790.83</v>
      </c>
      <c r="G195" s="2">
        <v>2049855800</v>
      </c>
      <c r="H195" s="1">
        <v>31897.042763999998</v>
      </c>
      <c r="I195" s="1" t="s">
        <v>9</v>
      </c>
      <c r="J195" s="1" t="str">
        <f>IF(表格1[[#This Row],[B/H/S]]="B", -表格1[[#This Row],[最高]], IF(表格1[[#This Row],[B/H/S]]="S",表格1[[#This Row],[最低]],""))</f>
        <v/>
      </c>
      <c r="K195" s="1" t="str">
        <f>IF(表格1[[#This Row],[買入/賣出價格]]&lt;&gt;"",ABS(表格1[[#This Row],[買入/賣出價格]]),"")</f>
        <v/>
      </c>
    </row>
    <row r="196" spans="1:11" x14ac:dyDescent="0.4">
      <c r="A196" s="3">
        <v>43187</v>
      </c>
      <c r="B196" s="1">
        <v>30510.38</v>
      </c>
      <c r="C196" s="1">
        <v>30637.21</v>
      </c>
      <c r="D196" s="1">
        <v>30022.53</v>
      </c>
      <c r="E196" s="1">
        <v>30022.53</v>
      </c>
      <c r="F196" s="1">
        <v>30022.53</v>
      </c>
      <c r="G196" s="2">
        <v>2209028300</v>
      </c>
      <c r="H196" s="1">
        <v>31857.706508719999</v>
      </c>
      <c r="I196" s="1" t="s">
        <v>9</v>
      </c>
      <c r="J196" s="1" t="str">
        <f>IF(表格1[[#This Row],[B/H/S]]="B", -表格1[[#This Row],[最高]], IF(表格1[[#This Row],[B/H/S]]="S",表格1[[#This Row],[最低]],""))</f>
        <v/>
      </c>
      <c r="K196" s="1" t="str">
        <f>IF(表格1[[#This Row],[買入/賣出價格]]&lt;&gt;"",ABS(表格1[[#This Row],[買入/賣出價格]]),"")</f>
        <v/>
      </c>
    </row>
    <row r="197" spans="1:11" x14ac:dyDescent="0.4">
      <c r="A197" s="3">
        <v>43188</v>
      </c>
      <c r="B197" s="1">
        <v>30154.18</v>
      </c>
      <c r="C197" s="1">
        <v>30252.95</v>
      </c>
      <c r="D197" s="1">
        <v>29819.63</v>
      </c>
      <c r="E197" s="1">
        <v>30093.38</v>
      </c>
      <c r="F197" s="1">
        <v>30093.38</v>
      </c>
      <c r="G197" s="2">
        <v>2167328200</v>
      </c>
      <c r="H197" s="1">
        <v>31819.156978545598</v>
      </c>
      <c r="I197" s="1" t="s">
        <v>9</v>
      </c>
      <c r="J197" s="1" t="str">
        <f>IF(表格1[[#This Row],[B/H/S]]="B", -表格1[[#This Row],[最高]], IF(表格1[[#This Row],[B/H/S]]="S",表格1[[#This Row],[最低]],""))</f>
        <v/>
      </c>
      <c r="K197" s="1" t="str">
        <f>IF(表格1[[#This Row],[買入/賣出價格]]&lt;&gt;"",ABS(表格1[[#This Row],[買入/賣出價格]]),"")</f>
        <v/>
      </c>
    </row>
    <row r="198" spans="1:11" x14ac:dyDescent="0.4">
      <c r="A198" s="3">
        <v>43193</v>
      </c>
      <c r="B198" s="1">
        <v>29927.88</v>
      </c>
      <c r="C198" s="1">
        <v>30269.279999999999</v>
      </c>
      <c r="D198" s="1">
        <v>29755.360000000001</v>
      </c>
      <c r="E198" s="1">
        <v>30180.1</v>
      </c>
      <c r="F198" s="1">
        <v>30180.1</v>
      </c>
      <c r="G198" s="2">
        <v>1908642500</v>
      </c>
      <c r="H198" s="1">
        <v>31739.175899403774</v>
      </c>
      <c r="I198" s="1" t="s">
        <v>9</v>
      </c>
      <c r="J198" s="1" t="str">
        <f>IF(表格1[[#This Row],[B/H/S]]="B", -表格1[[#This Row],[最高]], IF(表格1[[#This Row],[B/H/S]]="S",表格1[[#This Row],[最低]],""))</f>
        <v/>
      </c>
      <c r="K198" s="1" t="str">
        <f>IF(表格1[[#This Row],[買入/賣出價格]]&lt;&gt;"",ABS(表格1[[#This Row],[買入/賣出價格]]),"")</f>
        <v/>
      </c>
    </row>
    <row r="199" spans="1:11" x14ac:dyDescent="0.4">
      <c r="A199" s="3">
        <v>43194</v>
      </c>
      <c r="B199" s="1">
        <v>30244.22</v>
      </c>
      <c r="C199" s="1">
        <v>30329.08</v>
      </c>
      <c r="D199" s="1">
        <v>29518.69</v>
      </c>
      <c r="E199" s="1">
        <v>29518.69</v>
      </c>
      <c r="F199" s="1">
        <v>29518.69</v>
      </c>
      <c r="G199" s="2">
        <v>1816082600</v>
      </c>
      <c r="H199" s="1">
        <v>31620.146945439548</v>
      </c>
      <c r="I199" s="1" t="s">
        <v>9</v>
      </c>
      <c r="J199" s="1" t="str">
        <f>IF(表格1[[#This Row],[B/H/S]]="B", -表格1[[#This Row],[最高]], IF(表格1[[#This Row],[B/H/S]]="S",表格1[[#This Row],[最低]],""))</f>
        <v/>
      </c>
      <c r="K199" s="1" t="str">
        <f>IF(表格1[[#This Row],[買入/賣出價格]]&lt;&gt;"",ABS(表格1[[#This Row],[買入/賣出價格]]),"")</f>
        <v/>
      </c>
    </row>
    <row r="200" spans="1:11" x14ac:dyDescent="0.4">
      <c r="A200" s="3">
        <v>43196</v>
      </c>
      <c r="B200" s="1">
        <v>29750.240000000002</v>
      </c>
      <c r="C200" s="1">
        <v>29980.560000000001</v>
      </c>
      <c r="D200" s="1">
        <v>29608.33</v>
      </c>
      <c r="E200" s="1">
        <v>29844.94</v>
      </c>
      <c r="F200" s="1">
        <v>29844.94</v>
      </c>
      <c r="G200" s="2">
        <v>1698284100</v>
      </c>
      <c r="H200" s="1">
        <v>31452.030389804386</v>
      </c>
      <c r="I200" s="1" t="s">
        <v>9</v>
      </c>
      <c r="J200" s="1" t="str">
        <f>IF(表格1[[#This Row],[B/H/S]]="B", -表格1[[#This Row],[最高]], IF(表格1[[#This Row],[B/H/S]]="S",表格1[[#This Row],[最低]],""))</f>
        <v/>
      </c>
      <c r="K200" s="1" t="str">
        <f>IF(表格1[[#This Row],[買入/賣出價格]]&lt;&gt;"",ABS(表格1[[#This Row],[買入/賣出價格]]),"")</f>
        <v/>
      </c>
    </row>
    <row r="201" spans="1:11" x14ac:dyDescent="0.4">
      <c r="A201" s="3">
        <v>43199</v>
      </c>
      <c r="B201" s="1">
        <v>30104.32</v>
      </c>
      <c r="C201" s="1">
        <v>30514.799999999999</v>
      </c>
      <c r="D201" s="1">
        <v>29909.37</v>
      </c>
      <c r="E201" s="1">
        <v>30229.58</v>
      </c>
      <c r="F201" s="1">
        <v>30229.58</v>
      </c>
      <c r="G201" s="2">
        <v>1841272200</v>
      </c>
      <c r="H201" s="1">
        <v>31297.363158620035</v>
      </c>
      <c r="I201" s="1" t="s">
        <v>9</v>
      </c>
      <c r="J201" s="1" t="str">
        <f>IF(表格1[[#This Row],[B/H/S]]="B", -表格1[[#This Row],[最高]], IF(表格1[[#This Row],[B/H/S]]="S",表格1[[#This Row],[最低]],""))</f>
        <v/>
      </c>
      <c r="K201" s="1" t="str">
        <f>IF(表格1[[#This Row],[買入/賣出價格]]&lt;&gt;"",ABS(表格1[[#This Row],[買入/賣出價格]]),"")</f>
        <v/>
      </c>
    </row>
    <row r="202" spans="1:11" x14ac:dyDescent="0.4">
      <c r="A202" s="3">
        <v>43200</v>
      </c>
      <c r="B202" s="1">
        <v>30205.09</v>
      </c>
      <c r="C202" s="1">
        <v>30806.86</v>
      </c>
      <c r="D202" s="1">
        <v>30163.09</v>
      </c>
      <c r="E202" s="1">
        <v>30728.74</v>
      </c>
      <c r="F202" s="1">
        <v>30728.74</v>
      </c>
      <c r="G202" s="2">
        <v>2270263700</v>
      </c>
      <c r="H202" s="1">
        <v>31155.069305930432</v>
      </c>
      <c r="I202" s="1" t="s">
        <v>9</v>
      </c>
      <c r="J202" s="1" t="str">
        <f>IF(表格1[[#This Row],[B/H/S]]="B", -表格1[[#This Row],[最高]], IF(表格1[[#This Row],[B/H/S]]="S",表格1[[#This Row],[最低]],""))</f>
        <v/>
      </c>
      <c r="K202" s="1" t="str">
        <f>IF(表格1[[#This Row],[買入/賣出價格]]&lt;&gt;"",ABS(表格1[[#This Row],[買入/賣出價格]]),"")</f>
        <v/>
      </c>
    </row>
    <row r="203" spans="1:11" x14ac:dyDescent="0.4">
      <c r="A203" s="3">
        <v>43201</v>
      </c>
      <c r="B203" s="1">
        <v>30761.23</v>
      </c>
      <c r="C203" s="1">
        <v>31021.119999999999</v>
      </c>
      <c r="D203" s="1">
        <v>30723.07</v>
      </c>
      <c r="E203" s="1">
        <v>30897.71</v>
      </c>
      <c r="F203" s="1">
        <v>30897.71</v>
      </c>
      <c r="G203" s="2">
        <v>2291863000</v>
      </c>
      <c r="H203" s="1">
        <v>31024.158961455996</v>
      </c>
      <c r="I203" s="1" t="s">
        <v>9</v>
      </c>
      <c r="J203" s="1" t="str">
        <f>IF(表格1[[#This Row],[B/H/S]]="B", -表格1[[#This Row],[最高]], IF(表格1[[#This Row],[B/H/S]]="S",表格1[[#This Row],[最低]],""))</f>
        <v/>
      </c>
      <c r="K203" s="1" t="str">
        <f>IF(表格1[[#This Row],[買入/賣出價格]]&lt;&gt;"",ABS(表格1[[#This Row],[買入/賣出價格]]),"")</f>
        <v/>
      </c>
    </row>
    <row r="204" spans="1:11" x14ac:dyDescent="0.4">
      <c r="A204" s="3">
        <v>43202</v>
      </c>
      <c r="B204" s="1">
        <v>31094.11</v>
      </c>
      <c r="C204" s="1">
        <v>31094.11</v>
      </c>
      <c r="D204" s="1">
        <v>30637.14</v>
      </c>
      <c r="E204" s="1">
        <v>30831.279999999999</v>
      </c>
      <c r="F204" s="1">
        <v>30831.279999999999</v>
      </c>
      <c r="G204" s="2">
        <v>1754477200</v>
      </c>
      <c r="H204" s="1">
        <v>30163.09</v>
      </c>
      <c r="I204" s="1" t="s">
        <v>10</v>
      </c>
      <c r="J204" s="1">
        <f>IF(表格1[[#This Row],[B/H/S]]="B", -表格1[[#This Row],[最高]], IF(表格1[[#This Row],[B/H/S]]="S",表格1[[#This Row],[最低]],""))</f>
        <v>-31094.11</v>
      </c>
      <c r="K204" s="1">
        <f>IF(表格1[[#This Row],[買入/賣出價格]]&lt;&gt;"",ABS(表格1[[#This Row],[買入/賣出價格]]),"")</f>
        <v>31094.11</v>
      </c>
    </row>
    <row r="205" spans="1:11" x14ac:dyDescent="0.4">
      <c r="A205" s="3">
        <v>43203</v>
      </c>
      <c r="B205" s="1">
        <v>31076.76</v>
      </c>
      <c r="C205" s="1">
        <v>31076.76</v>
      </c>
      <c r="D205" s="1">
        <v>30707.77</v>
      </c>
      <c r="E205" s="1">
        <v>30808.38</v>
      </c>
      <c r="F205" s="1">
        <v>30808.38</v>
      </c>
      <c r="G205" s="2">
        <v>1406304600</v>
      </c>
      <c r="H205" s="1">
        <v>30181.7104</v>
      </c>
      <c r="I205" s="1" t="s">
        <v>9</v>
      </c>
      <c r="J205" s="1" t="str">
        <f>IF(表格1[[#This Row],[B/H/S]]="B", -表格1[[#This Row],[最高]], IF(表格1[[#This Row],[B/H/S]]="S",表格1[[#This Row],[最低]],""))</f>
        <v/>
      </c>
      <c r="K205" s="1" t="str">
        <f>IF(表格1[[#This Row],[買入/賣出價格]]&lt;&gt;"",ABS(表格1[[#This Row],[買入/賣出價格]]),"")</f>
        <v/>
      </c>
    </row>
    <row r="206" spans="1:11" x14ac:dyDescent="0.4">
      <c r="A206" s="3">
        <v>43206</v>
      </c>
      <c r="B206" s="1">
        <v>30849.72</v>
      </c>
      <c r="C206" s="1">
        <v>30849.72</v>
      </c>
      <c r="D206" s="1">
        <v>30190.75</v>
      </c>
      <c r="E206" s="1">
        <v>30315.59</v>
      </c>
      <c r="F206" s="1">
        <v>30315.59</v>
      </c>
      <c r="G206" s="2">
        <v>1827774700</v>
      </c>
      <c r="H206" s="1">
        <v>31094.11</v>
      </c>
      <c r="I206" s="1" t="s">
        <v>11</v>
      </c>
      <c r="J206" s="1">
        <f>IF(表格1[[#This Row],[B/H/S]]="B", -表格1[[#This Row],[最高]], IF(表格1[[#This Row],[B/H/S]]="S",表格1[[#This Row],[最低]],""))</f>
        <v>30190.75</v>
      </c>
      <c r="K206" s="1">
        <f>IF(表格1[[#This Row],[買入/賣出價格]]&lt;&gt;"",ABS(表格1[[#This Row],[買入/賣出價格]]),"")</f>
        <v>30190.75</v>
      </c>
    </row>
    <row r="207" spans="1:11" x14ac:dyDescent="0.4">
      <c r="A207" s="3">
        <v>43207</v>
      </c>
      <c r="B207" s="1">
        <v>30354.89</v>
      </c>
      <c r="C207" s="1">
        <v>30477.79</v>
      </c>
      <c r="D207" s="1">
        <v>30012.7</v>
      </c>
      <c r="E207" s="1">
        <v>30062.75</v>
      </c>
      <c r="F207" s="1">
        <v>30062.75</v>
      </c>
      <c r="G207" s="2">
        <v>1916884600</v>
      </c>
      <c r="H207" s="1">
        <v>31076.76</v>
      </c>
      <c r="I207" s="1" t="s">
        <v>9</v>
      </c>
      <c r="J207" s="1" t="str">
        <f>IF(表格1[[#This Row],[B/H/S]]="B", -表格1[[#This Row],[最高]], IF(表格1[[#This Row],[B/H/S]]="S",表格1[[#This Row],[最低]],""))</f>
        <v/>
      </c>
      <c r="K207" s="1" t="str">
        <f>IF(表格1[[#This Row],[買入/賣出價格]]&lt;&gt;"",ABS(表格1[[#This Row],[買入/賣出價格]]),"")</f>
        <v/>
      </c>
    </row>
    <row r="208" spans="1:11" x14ac:dyDescent="0.4">
      <c r="A208" s="3">
        <v>43208</v>
      </c>
      <c r="B208" s="1">
        <v>30469.95</v>
      </c>
      <c r="C208" s="1">
        <v>30487.17</v>
      </c>
      <c r="D208" s="1">
        <v>29979.4</v>
      </c>
      <c r="E208" s="1">
        <v>30284.25</v>
      </c>
      <c r="F208" s="1">
        <v>30284.25</v>
      </c>
      <c r="G208" s="2">
        <v>2001652800</v>
      </c>
      <c r="H208" s="1">
        <v>31034.1976</v>
      </c>
      <c r="I208" s="1" t="s">
        <v>9</v>
      </c>
      <c r="J208" s="1" t="str">
        <f>IF(表格1[[#This Row],[B/H/S]]="B", -表格1[[#This Row],[最高]], IF(表格1[[#This Row],[B/H/S]]="S",表格1[[#This Row],[最低]],""))</f>
        <v/>
      </c>
      <c r="K208" s="1" t="str">
        <f>IF(表格1[[#This Row],[買入/賣出價格]]&lt;&gt;"",ABS(表格1[[#This Row],[買入/賣出價格]]),"")</f>
        <v/>
      </c>
    </row>
    <row r="209" spans="1:11" x14ac:dyDescent="0.4">
      <c r="A209" s="3">
        <v>43209</v>
      </c>
      <c r="B209" s="1">
        <v>30532.95</v>
      </c>
      <c r="C209" s="1">
        <v>30761.47</v>
      </c>
      <c r="D209" s="1">
        <v>30451</v>
      </c>
      <c r="E209" s="1">
        <v>30708.44</v>
      </c>
      <c r="F209" s="1">
        <v>30708.44</v>
      </c>
      <c r="G209" s="2">
        <v>2221670500</v>
      </c>
      <c r="H209" s="1">
        <v>30970.909744000001</v>
      </c>
      <c r="I209" s="1" t="s">
        <v>9</v>
      </c>
      <c r="J209" s="1" t="str">
        <f>IF(表格1[[#This Row],[B/H/S]]="B", -表格1[[#This Row],[最高]], IF(表格1[[#This Row],[B/H/S]]="S",表格1[[#This Row],[最低]],""))</f>
        <v/>
      </c>
      <c r="K209" s="1" t="str">
        <f>IF(表格1[[#This Row],[買入/賣出價格]]&lt;&gt;"",ABS(表格1[[#This Row],[買入/賣出價格]]),"")</f>
        <v/>
      </c>
    </row>
    <row r="210" spans="1:11" x14ac:dyDescent="0.4">
      <c r="A210" s="3">
        <v>43210</v>
      </c>
      <c r="B210" s="1">
        <v>30647.94</v>
      </c>
      <c r="C210" s="1">
        <v>30848.47</v>
      </c>
      <c r="D210" s="1">
        <v>30355.79</v>
      </c>
      <c r="E210" s="1">
        <v>30418.33</v>
      </c>
      <c r="F210" s="1">
        <v>30418.33</v>
      </c>
      <c r="G210" s="2">
        <v>1661298600</v>
      </c>
      <c r="H210" s="1">
        <v>30911.419159360001</v>
      </c>
      <c r="I210" s="1" t="s">
        <v>9</v>
      </c>
      <c r="J210" s="1" t="str">
        <f>IF(表格1[[#This Row],[B/H/S]]="B", -表格1[[#This Row],[最高]], IF(表格1[[#This Row],[B/H/S]]="S",表格1[[#This Row],[最低]],""))</f>
        <v/>
      </c>
      <c r="K210" s="1" t="str">
        <f>IF(表格1[[#This Row],[買入/賣出價格]]&lt;&gt;"",ABS(表格1[[#This Row],[買入/賣出價格]]),"")</f>
        <v/>
      </c>
    </row>
    <row r="211" spans="1:11" x14ac:dyDescent="0.4">
      <c r="A211" s="3">
        <v>43213</v>
      </c>
      <c r="B211" s="1">
        <v>30327.03</v>
      </c>
      <c r="C211" s="1">
        <v>30481.86</v>
      </c>
      <c r="D211" s="1">
        <v>30184.45</v>
      </c>
      <c r="E211" s="1">
        <v>30254.400000000001</v>
      </c>
      <c r="F211" s="1">
        <v>30254.400000000001</v>
      </c>
      <c r="G211" s="2">
        <v>1516737400</v>
      </c>
      <c r="H211" s="1">
        <v>30855.498009798401</v>
      </c>
      <c r="I211" s="1" t="s">
        <v>9</v>
      </c>
      <c r="J211" s="1" t="str">
        <f>IF(表格1[[#This Row],[B/H/S]]="B", -表格1[[#This Row],[最高]], IF(表格1[[#This Row],[B/H/S]]="S",表格1[[#This Row],[最低]],""))</f>
        <v/>
      </c>
      <c r="K211" s="1" t="str">
        <f>IF(表格1[[#This Row],[買入/賣出價格]]&lt;&gt;"",ABS(表格1[[#This Row],[買入/賣出價格]]),"")</f>
        <v/>
      </c>
    </row>
    <row r="212" spans="1:11" x14ac:dyDescent="0.4">
      <c r="A212" s="3">
        <v>43214</v>
      </c>
      <c r="B212" s="1">
        <v>30353.83</v>
      </c>
      <c r="C212" s="1">
        <v>30665.1</v>
      </c>
      <c r="D212" s="1">
        <v>30335.29</v>
      </c>
      <c r="E212" s="1">
        <v>30636.240000000002</v>
      </c>
      <c r="F212" s="1">
        <v>30636.240000000002</v>
      </c>
      <c r="G212" s="2">
        <v>1741299100</v>
      </c>
      <c r="H212" s="1">
        <v>30848.47</v>
      </c>
      <c r="I212" s="1" t="s">
        <v>9</v>
      </c>
      <c r="J212" s="1" t="str">
        <f>IF(表格1[[#This Row],[B/H/S]]="B", -表格1[[#This Row],[最高]], IF(表格1[[#This Row],[B/H/S]]="S",表格1[[#This Row],[最低]],""))</f>
        <v/>
      </c>
      <c r="K212" s="1" t="str">
        <f>IF(表格1[[#This Row],[買入/賣出價格]]&lt;&gt;"",ABS(表格1[[#This Row],[買入/賣出價格]]),"")</f>
        <v/>
      </c>
    </row>
    <row r="213" spans="1:11" x14ac:dyDescent="0.4">
      <c r="A213" s="3">
        <v>43215</v>
      </c>
      <c r="B213" s="1">
        <v>30486.86</v>
      </c>
      <c r="C213" s="1">
        <v>30507.19</v>
      </c>
      <c r="D213" s="1">
        <v>30244.16</v>
      </c>
      <c r="E213" s="1">
        <v>30328.15</v>
      </c>
      <c r="F213" s="1">
        <v>30328.15</v>
      </c>
      <c r="G213" s="2">
        <v>1674472500</v>
      </c>
      <c r="H213" s="1">
        <v>30796.325800000002</v>
      </c>
      <c r="I213" s="1" t="s">
        <v>9</v>
      </c>
      <c r="J213" s="1" t="str">
        <f>IF(表格1[[#This Row],[B/H/S]]="B", -表格1[[#This Row],[最高]], IF(表格1[[#This Row],[B/H/S]]="S",表格1[[#This Row],[最低]],""))</f>
        <v/>
      </c>
      <c r="K213" s="1" t="str">
        <f>IF(表格1[[#This Row],[買入/賣出價格]]&lt;&gt;"",ABS(表格1[[#This Row],[買入/賣出價格]]),"")</f>
        <v/>
      </c>
    </row>
    <row r="214" spans="1:11" x14ac:dyDescent="0.4">
      <c r="A214" s="3">
        <v>43216</v>
      </c>
      <c r="B214" s="1">
        <v>30378.15</v>
      </c>
      <c r="C214" s="1">
        <v>30463.42</v>
      </c>
      <c r="D214" s="1">
        <v>29871.200000000001</v>
      </c>
      <c r="E214" s="1">
        <v>30007.68</v>
      </c>
      <c r="F214" s="1">
        <v>30007.68</v>
      </c>
      <c r="G214" s="2">
        <v>1765452500</v>
      </c>
      <c r="H214" s="1">
        <v>30747.310252000003</v>
      </c>
      <c r="I214" s="1" t="s">
        <v>9</v>
      </c>
      <c r="J214" s="1" t="str">
        <f>IF(表格1[[#This Row],[B/H/S]]="B", -表格1[[#This Row],[最高]], IF(表格1[[#This Row],[B/H/S]]="S",表格1[[#This Row],[最低]],""))</f>
        <v/>
      </c>
      <c r="K214" s="1" t="str">
        <f>IF(表格1[[#This Row],[買入/賣出價格]]&lt;&gt;"",ABS(表格1[[#This Row],[買入/賣出價格]]),"")</f>
        <v/>
      </c>
    </row>
    <row r="215" spans="1:11" x14ac:dyDescent="0.4">
      <c r="A215" s="3">
        <v>43217</v>
      </c>
      <c r="B215" s="1">
        <v>30300.83</v>
      </c>
      <c r="C215" s="1">
        <v>30336</v>
      </c>
      <c r="D215" s="1">
        <v>30019.119999999999</v>
      </c>
      <c r="E215" s="1">
        <v>30280.67</v>
      </c>
      <c r="F215" s="1">
        <v>30280.67</v>
      </c>
      <c r="G215" s="2">
        <v>1610929100</v>
      </c>
      <c r="H215" s="1">
        <v>30677.221431840004</v>
      </c>
      <c r="I215" s="1" t="s">
        <v>9</v>
      </c>
      <c r="J215" s="1" t="str">
        <f>IF(表格1[[#This Row],[B/H/S]]="B", -表格1[[#This Row],[最高]], IF(表格1[[#This Row],[B/H/S]]="S",表格1[[#This Row],[最低]],""))</f>
        <v/>
      </c>
      <c r="K215" s="1" t="str">
        <f>IF(表格1[[#This Row],[買入/賣出價格]]&lt;&gt;"",ABS(表格1[[#This Row],[買入/賣出價格]]),"")</f>
        <v/>
      </c>
    </row>
    <row r="216" spans="1:11" x14ac:dyDescent="0.4">
      <c r="A216" s="3">
        <v>43220</v>
      </c>
      <c r="B216" s="1">
        <v>30530.400000000001</v>
      </c>
      <c r="C216" s="1">
        <v>30853.13</v>
      </c>
      <c r="D216" s="1">
        <v>30483.91</v>
      </c>
      <c r="E216" s="1">
        <v>30808.45</v>
      </c>
      <c r="F216" s="1">
        <v>30808.45</v>
      </c>
      <c r="G216" s="2">
        <v>1923280800</v>
      </c>
      <c r="H216" s="1">
        <v>29871.200000000001</v>
      </c>
      <c r="I216" s="1" t="s">
        <v>10</v>
      </c>
      <c r="J216" s="1">
        <f>IF(表格1[[#This Row],[B/H/S]]="B", -表格1[[#This Row],[最高]], IF(表格1[[#This Row],[B/H/S]]="S",表格1[[#This Row],[最低]],""))</f>
        <v>-30853.13</v>
      </c>
      <c r="K216" s="1">
        <f>IF(表格1[[#This Row],[買入/賣出價格]]&lt;&gt;"",ABS(表格1[[#This Row],[買入/賣出價格]]),"")</f>
        <v>30853.13</v>
      </c>
    </row>
    <row r="217" spans="1:11" x14ac:dyDescent="0.4">
      <c r="A217" s="3">
        <v>43222</v>
      </c>
      <c r="B217" s="1">
        <v>30782.21</v>
      </c>
      <c r="C217" s="1">
        <v>30824.77</v>
      </c>
      <c r="D217" s="1">
        <v>30570.81</v>
      </c>
      <c r="E217" s="1">
        <v>30723.88</v>
      </c>
      <c r="F217" s="1">
        <v>30723.88</v>
      </c>
      <c r="G217" s="2">
        <v>1643135500</v>
      </c>
      <c r="H217" s="1">
        <v>29890.838599999999</v>
      </c>
      <c r="I217" s="1" t="s">
        <v>9</v>
      </c>
      <c r="J217" s="1" t="str">
        <f>IF(表格1[[#This Row],[B/H/S]]="B", -表格1[[#This Row],[最高]], IF(表格1[[#This Row],[B/H/S]]="S",表格1[[#This Row],[最低]],""))</f>
        <v/>
      </c>
      <c r="K217" s="1" t="str">
        <f>IF(表格1[[#This Row],[買入/賣出價格]]&lt;&gt;"",ABS(表格1[[#This Row],[買入/賣出價格]]),"")</f>
        <v/>
      </c>
    </row>
    <row r="218" spans="1:11" x14ac:dyDescent="0.4">
      <c r="A218" s="3">
        <v>43223</v>
      </c>
      <c r="B218" s="1">
        <v>30405.48</v>
      </c>
      <c r="C218" s="1">
        <v>30432.07</v>
      </c>
      <c r="D218" s="1">
        <v>30118.65</v>
      </c>
      <c r="E218" s="1">
        <v>30313.37</v>
      </c>
      <c r="F218" s="1">
        <v>30313.37</v>
      </c>
      <c r="G218" s="2">
        <v>1736327100</v>
      </c>
      <c r="H218" s="1">
        <v>29910.084427999998</v>
      </c>
      <c r="I218" s="1" t="s">
        <v>9</v>
      </c>
      <c r="J218" s="1" t="str">
        <f>IF(表格1[[#This Row],[B/H/S]]="B", -表格1[[#This Row],[最高]], IF(表格1[[#This Row],[B/H/S]]="S",表格1[[#This Row],[最低]],""))</f>
        <v/>
      </c>
      <c r="K218" s="1" t="str">
        <f>IF(表格1[[#This Row],[買入/賣出價格]]&lt;&gt;"",ABS(表格1[[#This Row],[買入/賣出價格]]),"")</f>
        <v/>
      </c>
    </row>
    <row r="219" spans="1:11" x14ac:dyDescent="0.4">
      <c r="A219" s="3">
        <v>43224</v>
      </c>
      <c r="B219" s="1">
        <v>30316.98</v>
      </c>
      <c r="C219" s="1">
        <v>30341.46</v>
      </c>
      <c r="D219" s="1">
        <v>29859.3</v>
      </c>
      <c r="E219" s="1">
        <v>29926.5</v>
      </c>
      <c r="F219" s="1">
        <v>29926.5</v>
      </c>
      <c r="G219" s="2">
        <v>1754754700</v>
      </c>
      <c r="H219" s="1">
        <v>30824.77</v>
      </c>
      <c r="I219" s="1" t="s">
        <v>11</v>
      </c>
      <c r="J219" s="1">
        <f>IF(表格1[[#This Row],[B/H/S]]="B", -表格1[[#This Row],[最高]], IF(表格1[[#This Row],[B/H/S]]="S",表格1[[#This Row],[最低]],""))</f>
        <v>29859.3</v>
      </c>
      <c r="K219" s="1">
        <f>IF(表格1[[#This Row],[買入/賣出價格]]&lt;&gt;"",ABS(表格1[[#This Row],[買入/賣出價格]]),"")</f>
        <v>29859.3</v>
      </c>
    </row>
    <row r="220" spans="1:11" x14ac:dyDescent="0.4">
      <c r="A220" s="3">
        <v>43227</v>
      </c>
      <c r="B220" s="1">
        <v>30102.06</v>
      </c>
      <c r="C220" s="1">
        <v>30138.33</v>
      </c>
      <c r="D220" s="1">
        <v>29791.87</v>
      </c>
      <c r="E220" s="1">
        <v>29994.26</v>
      </c>
      <c r="F220" s="1">
        <v>29994.26</v>
      </c>
      <c r="G220" s="2">
        <v>1441380300</v>
      </c>
      <c r="H220" s="1">
        <v>30805.460600000002</v>
      </c>
      <c r="I220" s="1" t="s">
        <v>9</v>
      </c>
      <c r="J220" s="1" t="str">
        <f>IF(表格1[[#This Row],[B/H/S]]="B", -表格1[[#This Row],[最高]], IF(表格1[[#This Row],[B/H/S]]="S",表格1[[#This Row],[最低]],""))</f>
        <v/>
      </c>
      <c r="K220" s="1" t="str">
        <f>IF(表格1[[#This Row],[買入/賣出價格]]&lt;&gt;"",ABS(表格1[[#This Row],[買入/賣出價格]]),"")</f>
        <v/>
      </c>
    </row>
    <row r="221" spans="1:11" x14ac:dyDescent="0.4">
      <c r="A221" s="3">
        <v>43228</v>
      </c>
      <c r="B221" s="1">
        <v>30123.77</v>
      </c>
      <c r="C221" s="1">
        <v>30444.22</v>
      </c>
      <c r="D221" s="1">
        <v>30123.77</v>
      </c>
      <c r="E221" s="1">
        <v>30402.81</v>
      </c>
      <c r="F221" s="1">
        <v>30402.81</v>
      </c>
      <c r="G221" s="2">
        <v>1623605700</v>
      </c>
      <c r="H221" s="1">
        <v>30764.916976</v>
      </c>
      <c r="I221" s="1" t="s">
        <v>9</v>
      </c>
      <c r="J221" s="1" t="str">
        <f>IF(表格1[[#This Row],[B/H/S]]="B", -表格1[[#This Row],[最高]], IF(表格1[[#This Row],[B/H/S]]="S",表格1[[#This Row],[最低]],""))</f>
        <v/>
      </c>
      <c r="K221" s="1" t="str">
        <f>IF(表格1[[#This Row],[買入/賣出價格]]&lt;&gt;"",ABS(表格1[[#This Row],[買入/賣出價格]]),"")</f>
        <v/>
      </c>
    </row>
    <row r="222" spans="1:11" x14ac:dyDescent="0.4">
      <c r="A222" s="3">
        <v>43229</v>
      </c>
      <c r="B222" s="1">
        <v>30452.16</v>
      </c>
      <c r="C222" s="1">
        <v>30568.76</v>
      </c>
      <c r="D222" s="1">
        <v>30346.62</v>
      </c>
      <c r="E222" s="1">
        <v>30536.14</v>
      </c>
      <c r="F222" s="1">
        <v>30536.14</v>
      </c>
      <c r="G222" s="2">
        <v>1360669300</v>
      </c>
      <c r="H222" s="1">
        <v>30725.99509696</v>
      </c>
      <c r="I222" s="1" t="s">
        <v>9</v>
      </c>
      <c r="J222" s="1" t="str">
        <f>IF(表格1[[#This Row],[B/H/S]]="B", -表格1[[#This Row],[最高]], IF(表格1[[#This Row],[B/H/S]]="S",表格1[[#This Row],[最低]],""))</f>
        <v/>
      </c>
      <c r="K222" s="1" t="str">
        <f>IF(表格1[[#This Row],[買入/賣出價格]]&lt;&gt;"",ABS(表格1[[#This Row],[買入/賣出價格]]),"")</f>
        <v/>
      </c>
    </row>
    <row r="223" spans="1:11" x14ac:dyDescent="0.4">
      <c r="A223" s="3">
        <v>43230</v>
      </c>
      <c r="B223" s="1">
        <v>30716.97</v>
      </c>
      <c r="C223" s="1">
        <v>30851.3</v>
      </c>
      <c r="D223" s="1">
        <v>30712.93</v>
      </c>
      <c r="E223" s="1">
        <v>30809.22</v>
      </c>
      <c r="F223" s="1">
        <v>30809.22</v>
      </c>
      <c r="G223" s="2">
        <v>1534597300</v>
      </c>
      <c r="H223" s="1">
        <v>30123.77</v>
      </c>
      <c r="I223" s="1" t="s">
        <v>10</v>
      </c>
      <c r="J223" s="1">
        <f>IF(表格1[[#This Row],[B/H/S]]="B", -表格1[[#This Row],[最高]], IF(表格1[[#This Row],[B/H/S]]="S",表格1[[#This Row],[最低]],""))</f>
        <v>-30851.3</v>
      </c>
      <c r="K223" s="1">
        <f>IF(表格1[[#This Row],[買入/賣出價格]]&lt;&gt;"",ABS(表格1[[#This Row],[買入/賣出價格]]),"")</f>
        <v>30851.3</v>
      </c>
    </row>
    <row r="224" spans="1:11" x14ac:dyDescent="0.4">
      <c r="A224" s="3">
        <v>43231</v>
      </c>
      <c r="B224" s="1">
        <v>31151.8</v>
      </c>
      <c r="C224" s="1">
        <v>31277.39</v>
      </c>
      <c r="D224" s="1">
        <v>31032.44</v>
      </c>
      <c r="E224" s="1">
        <v>31122.06</v>
      </c>
      <c r="F224" s="1">
        <v>31122.06</v>
      </c>
      <c r="G224" s="2">
        <v>1627487900</v>
      </c>
      <c r="H224" s="1">
        <v>30138.320599999999</v>
      </c>
      <c r="I224" s="1" t="s">
        <v>9</v>
      </c>
      <c r="J224" s="1" t="str">
        <f>IF(表格1[[#This Row],[B/H/S]]="B", -表格1[[#This Row],[最高]], IF(表格1[[#This Row],[B/H/S]]="S",表格1[[#This Row],[最低]],""))</f>
        <v/>
      </c>
      <c r="K224" s="1" t="str">
        <f>IF(表格1[[#This Row],[買入/賣出價格]]&lt;&gt;"",ABS(表格1[[#This Row],[買入/賣出價格]]),"")</f>
        <v/>
      </c>
    </row>
    <row r="225" spans="1:11" x14ac:dyDescent="0.4">
      <c r="A225" s="3">
        <v>43234</v>
      </c>
      <c r="B225" s="1">
        <v>31498.36</v>
      </c>
      <c r="C225" s="1">
        <v>31592.560000000001</v>
      </c>
      <c r="D225" s="1">
        <v>31423.57</v>
      </c>
      <c r="E225" s="1">
        <v>31541.08</v>
      </c>
      <c r="F225" s="1">
        <v>31541.08</v>
      </c>
      <c r="G225" s="2">
        <v>1794416600</v>
      </c>
      <c r="H225" s="1">
        <v>30183.883375999998</v>
      </c>
      <c r="I225" s="1" t="s">
        <v>9</v>
      </c>
      <c r="J225" s="1" t="str">
        <f>IF(表格1[[#This Row],[B/H/S]]="B", -表格1[[#This Row],[最高]], IF(表格1[[#This Row],[B/H/S]]="S",表格1[[#This Row],[最低]],""))</f>
        <v/>
      </c>
      <c r="K225" s="1" t="str">
        <f>IF(表格1[[#This Row],[買入/賣出價格]]&lt;&gt;"",ABS(表格1[[#This Row],[買入/賣出價格]]),"")</f>
        <v/>
      </c>
    </row>
    <row r="226" spans="1:11" x14ac:dyDescent="0.4">
      <c r="A226" s="3">
        <v>43235</v>
      </c>
      <c r="B226" s="1">
        <v>31573.18</v>
      </c>
      <c r="C226" s="1">
        <v>31573.18</v>
      </c>
      <c r="D226" s="1">
        <v>31152.03</v>
      </c>
      <c r="E226" s="1">
        <v>31152.03</v>
      </c>
      <c r="F226" s="1">
        <v>31152.03</v>
      </c>
      <c r="G226" s="2">
        <v>1566899600</v>
      </c>
      <c r="H226" s="1">
        <v>30268.403973439999</v>
      </c>
      <c r="I226" s="1" t="s">
        <v>9</v>
      </c>
      <c r="J226" s="1" t="str">
        <f>IF(表格1[[#This Row],[B/H/S]]="B", -表格1[[#This Row],[最高]], IF(表格1[[#This Row],[B/H/S]]="S",表格1[[#This Row],[最低]],""))</f>
        <v/>
      </c>
      <c r="K226" s="1" t="str">
        <f>IF(表格1[[#This Row],[買入/賣出價格]]&lt;&gt;"",ABS(表格1[[#This Row],[買入/賣出價格]]),"")</f>
        <v/>
      </c>
    </row>
    <row r="227" spans="1:11" x14ac:dyDescent="0.4">
      <c r="A227" s="3">
        <v>43236</v>
      </c>
      <c r="B227" s="1">
        <v>31014.720000000001</v>
      </c>
      <c r="C227" s="1">
        <v>31218.080000000002</v>
      </c>
      <c r="D227" s="1">
        <v>30818.78</v>
      </c>
      <c r="E227" s="1">
        <v>31110.2</v>
      </c>
      <c r="F227" s="1">
        <v>31110.2</v>
      </c>
      <c r="G227" s="2">
        <v>1348037300</v>
      </c>
      <c r="H227" s="1">
        <v>30347.8533350336</v>
      </c>
      <c r="I227" s="1" t="s">
        <v>9</v>
      </c>
      <c r="J227" s="1" t="str">
        <f>IF(表格1[[#This Row],[B/H/S]]="B", -表格1[[#This Row],[最高]], IF(表格1[[#This Row],[B/H/S]]="S",表格1[[#This Row],[最低]],""))</f>
        <v/>
      </c>
      <c r="K227" s="1" t="str">
        <f>IF(表格1[[#This Row],[買入/賣出價格]]&lt;&gt;"",ABS(表格1[[#This Row],[買入/賣出價格]]),"")</f>
        <v/>
      </c>
    </row>
    <row r="228" spans="1:11" x14ac:dyDescent="0.4">
      <c r="A228" s="3">
        <v>43237</v>
      </c>
      <c r="B228" s="1">
        <v>31416.71</v>
      </c>
      <c r="C228" s="1">
        <v>31416.71</v>
      </c>
      <c r="D228" s="1">
        <v>30942.15</v>
      </c>
      <c r="E228" s="1">
        <v>30942.15</v>
      </c>
      <c r="F228" s="1">
        <v>30942.15</v>
      </c>
      <c r="G228" s="2">
        <v>1499907300</v>
      </c>
      <c r="H228" s="1">
        <v>30422.535734931585</v>
      </c>
      <c r="I228" s="1" t="s">
        <v>9</v>
      </c>
      <c r="J228" s="1" t="str">
        <f>IF(表格1[[#This Row],[B/H/S]]="B", -表格1[[#This Row],[最高]], IF(表格1[[#This Row],[B/H/S]]="S",表格1[[#This Row],[最低]],""))</f>
        <v/>
      </c>
      <c r="K228" s="1" t="str">
        <f>IF(表格1[[#This Row],[買入/賣出價格]]&lt;&gt;"",ABS(表格1[[#This Row],[買入/賣出價格]]),"")</f>
        <v/>
      </c>
    </row>
    <row r="229" spans="1:11" x14ac:dyDescent="0.4">
      <c r="A229" s="3">
        <v>43238</v>
      </c>
      <c r="B229" s="1">
        <v>31033.97</v>
      </c>
      <c r="C229" s="1">
        <v>31148.06</v>
      </c>
      <c r="D229" s="1">
        <v>30904.68</v>
      </c>
      <c r="E229" s="1">
        <v>31047.91</v>
      </c>
      <c r="F229" s="1">
        <v>31047.91</v>
      </c>
      <c r="G229" s="2">
        <v>1722070700</v>
      </c>
      <c r="H229" s="1">
        <v>30492.737190835691</v>
      </c>
      <c r="I229" s="1" t="s">
        <v>9</v>
      </c>
      <c r="J229" s="1" t="str">
        <f>IF(表格1[[#This Row],[B/H/S]]="B", -表格1[[#This Row],[最高]], IF(表格1[[#This Row],[B/H/S]]="S",表格1[[#This Row],[最低]],""))</f>
        <v/>
      </c>
      <c r="K229" s="1" t="str">
        <f>IF(表格1[[#This Row],[買入/賣出價格]]&lt;&gt;"",ABS(表格1[[#This Row],[買入/賣出價格]]),"")</f>
        <v/>
      </c>
    </row>
    <row r="230" spans="1:11" x14ac:dyDescent="0.4">
      <c r="A230" s="3">
        <v>43241</v>
      </c>
      <c r="B230" s="1">
        <v>31232.79</v>
      </c>
      <c r="C230" s="1">
        <v>31464.1</v>
      </c>
      <c r="D230" s="1">
        <v>31232.79</v>
      </c>
      <c r="E230" s="1">
        <v>31234.35</v>
      </c>
      <c r="F230" s="1">
        <v>31234.35</v>
      </c>
      <c r="G230" s="2">
        <v>1599624500</v>
      </c>
      <c r="H230" s="1">
        <v>30558.726559385548</v>
      </c>
      <c r="I230" s="1" t="s">
        <v>9</v>
      </c>
      <c r="J230" s="1" t="str">
        <f>IF(表格1[[#This Row],[B/H/S]]="B", -表格1[[#This Row],[最高]], IF(表格1[[#This Row],[B/H/S]]="S",表格1[[#This Row],[最低]],""))</f>
        <v/>
      </c>
      <c r="K230" s="1" t="str">
        <f>IF(表格1[[#This Row],[買入/賣出價格]]&lt;&gt;"",ABS(表格1[[#This Row],[買入/賣出價格]]),"")</f>
        <v/>
      </c>
    </row>
    <row r="231" spans="1:11" x14ac:dyDescent="0.4">
      <c r="A231" s="3">
        <v>43243</v>
      </c>
      <c r="B231" s="1">
        <v>31191.87</v>
      </c>
      <c r="C231" s="1">
        <v>31191.87</v>
      </c>
      <c r="D231" s="1">
        <v>30665.64</v>
      </c>
      <c r="E231" s="1">
        <v>30665.64</v>
      </c>
      <c r="F231" s="1">
        <v>30665.64</v>
      </c>
      <c r="G231" s="2">
        <v>2434017000</v>
      </c>
      <c r="H231" s="1">
        <v>30620.756565822416</v>
      </c>
      <c r="I231" s="1" t="s">
        <v>9</v>
      </c>
      <c r="J231" s="1" t="str">
        <f>IF(表格1[[#This Row],[B/H/S]]="B", -表格1[[#This Row],[最高]], IF(表格1[[#This Row],[B/H/S]]="S",表格1[[#This Row],[最低]],""))</f>
        <v/>
      </c>
      <c r="K231" s="1" t="str">
        <f>IF(表格1[[#This Row],[買入/賣出價格]]&lt;&gt;"",ABS(表格1[[#This Row],[買入/賣出價格]]),"")</f>
        <v/>
      </c>
    </row>
    <row r="232" spans="1:11" x14ac:dyDescent="0.4">
      <c r="A232" s="3">
        <v>43244</v>
      </c>
      <c r="B232" s="1">
        <v>30718.66</v>
      </c>
      <c r="C232" s="1">
        <v>30788.97</v>
      </c>
      <c r="D232" s="1">
        <v>30589.38</v>
      </c>
      <c r="E232" s="1">
        <v>30760.41</v>
      </c>
      <c r="F232" s="1">
        <v>30760.41</v>
      </c>
      <c r="G232" s="2">
        <v>1579074300</v>
      </c>
      <c r="H232" s="1">
        <v>31464.1</v>
      </c>
      <c r="I232" s="1" t="s">
        <v>11</v>
      </c>
      <c r="J232" s="1">
        <f>IF(表格1[[#This Row],[B/H/S]]="B", -表格1[[#This Row],[最高]], IF(表格1[[#This Row],[B/H/S]]="S",表格1[[#This Row],[最低]],""))</f>
        <v>30589.38</v>
      </c>
      <c r="K232" s="1">
        <f>IF(表格1[[#This Row],[買入/賣出價格]]&lt;&gt;"",ABS(表格1[[#This Row],[買入/賣出價格]]),"")</f>
        <v>30589.38</v>
      </c>
    </row>
    <row r="233" spans="1:11" x14ac:dyDescent="0.4">
      <c r="A233" s="3">
        <v>43245</v>
      </c>
      <c r="B233" s="1">
        <v>30664.27</v>
      </c>
      <c r="C233" s="1">
        <v>30736.97</v>
      </c>
      <c r="D233" s="1">
        <v>30525.74</v>
      </c>
      <c r="E233" s="1">
        <v>30588.04</v>
      </c>
      <c r="F233" s="1">
        <v>30588.04</v>
      </c>
      <c r="G233" s="2">
        <v>1677533500</v>
      </c>
      <c r="H233" s="1">
        <v>31446.605599999999</v>
      </c>
      <c r="I233" s="1" t="s">
        <v>9</v>
      </c>
      <c r="J233" s="1" t="str">
        <f>IF(表格1[[#This Row],[B/H/S]]="B", -表格1[[#This Row],[最高]], IF(表格1[[#This Row],[B/H/S]]="S",表格1[[#This Row],[最低]],""))</f>
        <v/>
      </c>
      <c r="K233" s="1" t="str">
        <f>IF(表格1[[#This Row],[買入/賣出價格]]&lt;&gt;"",ABS(表格1[[#This Row],[買入/賣出價格]]),"")</f>
        <v/>
      </c>
    </row>
    <row r="234" spans="1:11" x14ac:dyDescent="0.4">
      <c r="A234" s="3">
        <v>43248</v>
      </c>
      <c r="B234" s="1">
        <v>30759.84</v>
      </c>
      <c r="C234" s="1">
        <v>30839.3</v>
      </c>
      <c r="D234" s="1">
        <v>30530.47</v>
      </c>
      <c r="E234" s="1">
        <v>30792.26</v>
      </c>
      <c r="F234" s="1">
        <v>30792.26</v>
      </c>
      <c r="G234" s="2">
        <v>1736227200</v>
      </c>
      <c r="H234" s="1">
        <v>31409.770976</v>
      </c>
      <c r="I234" s="1" t="s">
        <v>9</v>
      </c>
      <c r="J234" s="1" t="str">
        <f>IF(表格1[[#This Row],[B/H/S]]="B", -表格1[[#This Row],[最高]], IF(表格1[[#This Row],[B/H/S]]="S",表格1[[#This Row],[最低]],""))</f>
        <v/>
      </c>
      <c r="K234" s="1" t="str">
        <f>IF(表格1[[#This Row],[買入/賣出價格]]&lt;&gt;"",ABS(表格1[[#This Row],[買入/賣出價格]]),"")</f>
        <v/>
      </c>
    </row>
    <row r="235" spans="1:11" x14ac:dyDescent="0.4">
      <c r="A235" s="3">
        <v>43249</v>
      </c>
      <c r="B235" s="1">
        <v>30647.26</v>
      </c>
      <c r="C235" s="1">
        <v>30713.32</v>
      </c>
      <c r="D235" s="1">
        <v>30454.18</v>
      </c>
      <c r="E235" s="1">
        <v>30484.58</v>
      </c>
      <c r="F235" s="1">
        <v>30484.58</v>
      </c>
      <c r="G235" s="2">
        <v>1658628600</v>
      </c>
      <c r="H235" s="1">
        <v>31374.409736959999</v>
      </c>
      <c r="I235" s="1" t="s">
        <v>9</v>
      </c>
      <c r="J235" s="1" t="str">
        <f>IF(表格1[[#This Row],[B/H/S]]="B", -表格1[[#This Row],[最高]], IF(表格1[[#This Row],[B/H/S]]="S",表格1[[#This Row],[最低]],""))</f>
        <v/>
      </c>
      <c r="K235" s="1" t="str">
        <f>IF(表格1[[#This Row],[買入/賣出價格]]&lt;&gt;"",ABS(表格1[[#This Row],[買入/賣出價格]]),"")</f>
        <v/>
      </c>
    </row>
    <row r="236" spans="1:11" x14ac:dyDescent="0.4">
      <c r="A236" s="3">
        <v>43250</v>
      </c>
      <c r="B236" s="1">
        <v>30109.37</v>
      </c>
      <c r="C236" s="1">
        <v>30241.23</v>
      </c>
      <c r="D236" s="1">
        <v>29964.34</v>
      </c>
      <c r="E236" s="1">
        <v>30056.79</v>
      </c>
      <c r="F236" s="1">
        <v>30056.79</v>
      </c>
      <c r="G236" s="2">
        <v>2407803400</v>
      </c>
      <c r="H236" s="1">
        <v>31319.195952742397</v>
      </c>
      <c r="I236" s="1" t="s">
        <v>9</v>
      </c>
      <c r="J236" s="1" t="str">
        <f>IF(表格1[[#This Row],[B/H/S]]="B", -表格1[[#This Row],[最高]], IF(表格1[[#This Row],[B/H/S]]="S",表格1[[#This Row],[最低]],""))</f>
        <v/>
      </c>
      <c r="K236" s="1" t="str">
        <f>IF(表格1[[#This Row],[買入/賣出價格]]&lt;&gt;"",ABS(表格1[[#This Row],[買入/賣出價格]]),"")</f>
        <v/>
      </c>
    </row>
    <row r="237" spans="1:11" x14ac:dyDescent="0.4">
      <c r="A237" s="3">
        <v>43251</v>
      </c>
      <c r="B237" s="1">
        <v>30274.18</v>
      </c>
      <c r="C237" s="1">
        <v>30533.58</v>
      </c>
      <c r="D237" s="1">
        <v>30148.43</v>
      </c>
      <c r="E237" s="1">
        <v>30468.560000000001</v>
      </c>
      <c r="F237" s="1">
        <v>30468.560000000001</v>
      </c>
      <c r="G237" s="2">
        <v>4110003600</v>
      </c>
      <c r="H237" s="1">
        <v>31210.807476523005</v>
      </c>
      <c r="I237" s="1" t="s">
        <v>9</v>
      </c>
      <c r="J237" s="1" t="str">
        <f>IF(表格1[[#This Row],[B/H/S]]="B", -表格1[[#This Row],[最高]], IF(表格1[[#This Row],[B/H/S]]="S",表格1[[#This Row],[最低]],""))</f>
        <v/>
      </c>
      <c r="K237" s="1" t="str">
        <f>IF(表格1[[#This Row],[買入/賣出價格]]&lt;&gt;"",ABS(表格1[[#This Row],[買入/賣出價格]]),"")</f>
        <v/>
      </c>
    </row>
    <row r="238" spans="1:11" x14ac:dyDescent="0.4">
      <c r="A238" s="3">
        <v>43252</v>
      </c>
      <c r="B238" s="1">
        <v>30548.78</v>
      </c>
      <c r="C238" s="1">
        <v>30581.119999999999</v>
      </c>
      <c r="D238" s="1">
        <v>30363.49</v>
      </c>
      <c r="E238" s="1">
        <v>30492.91</v>
      </c>
      <c r="F238" s="1">
        <v>30492.91</v>
      </c>
      <c r="G238" s="2">
        <v>2778527900</v>
      </c>
      <c r="H238" s="1">
        <v>31111.090078401165</v>
      </c>
      <c r="I238" s="1" t="s">
        <v>9</v>
      </c>
      <c r="J238" s="1" t="str">
        <f>IF(表格1[[#This Row],[B/H/S]]="B", -表格1[[#This Row],[最高]], IF(表格1[[#This Row],[B/H/S]]="S",表格1[[#This Row],[最低]],""))</f>
        <v/>
      </c>
      <c r="K238" s="1" t="str">
        <f>IF(表格1[[#This Row],[買入/賣出價格]]&lt;&gt;"",ABS(表格1[[#This Row],[買入/賣出價格]]),"")</f>
        <v/>
      </c>
    </row>
    <row r="239" spans="1:11" x14ac:dyDescent="0.4">
      <c r="A239" s="3">
        <v>43255</v>
      </c>
      <c r="B239" s="1">
        <v>30836.77</v>
      </c>
      <c r="C239" s="1">
        <v>31012.92</v>
      </c>
      <c r="D239" s="1">
        <v>30743.18</v>
      </c>
      <c r="E239" s="1">
        <v>30997.98</v>
      </c>
      <c r="F239" s="1">
        <v>30997.98</v>
      </c>
      <c r="G239" s="2">
        <v>1836620100</v>
      </c>
      <c r="H239" s="1">
        <v>31019.350072129073</v>
      </c>
      <c r="I239" s="1" t="s">
        <v>9</v>
      </c>
      <c r="J239" s="1" t="str">
        <f>IF(表格1[[#This Row],[B/H/S]]="B", -表格1[[#This Row],[最高]], IF(表格1[[#This Row],[B/H/S]]="S",表格1[[#This Row],[最低]],""))</f>
        <v/>
      </c>
      <c r="K239" s="1" t="str">
        <f>IF(表格1[[#This Row],[買入/賣出價格]]&lt;&gt;"",ABS(表格1[[#This Row],[買入/賣出價格]]),"")</f>
        <v/>
      </c>
    </row>
    <row r="240" spans="1:11" x14ac:dyDescent="0.4">
      <c r="A240" s="3">
        <v>43256</v>
      </c>
      <c r="B240" s="1">
        <v>31009.47</v>
      </c>
      <c r="C240" s="1">
        <v>31188.93</v>
      </c>
      <c r="D240" s="1">
        <v>30896.11</v>
      </c>
      <c r="E240" s="1">
        <v>31093.45</v>
      </c>
      <c r="F240" s="1">
        <v>31093.45</v>
      </c>
      <c r="G240" s="2">
        <v>1722042700</v>
      </c>
      <c r="H240" s="1">
        <v>30363.49</v>
      </c>
      <c r="I240" s="1" t="s">
        <v>10</v>
      </c>
      <c r="J240" s="1">
        <f>IF(表格1[[#This Row],[B/H/S]]="B", -表格1[[#This Row],[最高]], IF(表格1[[#This Row],[B/H/S]]="S",表格1[[#This Row],[最低]],""))</f>
        <v>-31188.93</v>
      </c>
      <c r="K240" s="1">
        <f>IF(表格1[[#This Row],[買入/賣出價格]]&lt;&gt;"",ABS(表格1[[#This Row],[買入/賣出價格]]),"")</f>
        <v>31188.93</v>
      </c>
    </row>
    <row r="241" spans="1:11" x14ac:dyDescent="0.4">
      <c r="A241" s="3">
        <v>43257</v>
      </c>
      <c r="B241" s="1">
        <v>31162.02</v>
      </c>
      <c r="C241" s="1">
        <v>31332.42</v>
      </c>
      <c r="D241" s="1">
        <v>31161.37</v>
      </c>
      <c r="E241" s="1">
        <v>31259.1</v>
      </c>
      <c r="F241" s="1">
        <v>31259.1</v>
      </c>
      <c r="G241" s="2">
        <v>1465410700</v>
      </c>
      <c r="H241" s="1">
        <v>30379.998800000001</v>
      </c>
      <c r="I241" s="1" t="s">
        <v>9</v>
      </c>
      <c r="J241" s="1" t="str">
        <f>IF(表格1[[#This Row],[B/H/S]]="B", -表格1[[#This Row],[最高]], IF(表格1[[#This Row],[B/H/S]]="S",表格1[[#This Row],[最低]],""))</f>
        <v/>
      </c>
      <c r="K241" s="1" t="str">
        <f>IF(表格1[[#This Row],[買入/賣出價格]]&lt;&gt;"",ABS(表格1[[#This Row],[買入/賣出價格]]),"")</f>
        <v/>
      </c>
    </row>
    <row r="242" spans="1:11" x14ac:dyDescent="0.4">
      <c r="A242" s="3">
        <v>43258</v>
      </c>
      <c r="B242" s="1">
        <v>31464.63</v>
      </c>
      <c r="C242" s="1">
        <v>31521.13</v>
      </c>
      <c r="D242" s="1">
        <v>31369.279999999999</v>
      </c>
      <c r="E242" s="1">
        <v>31512.63</v>
      </c>
      <c r="F242" s="1">
        <v>31512.63</v>
      </c>
      <c r="G242" s="2">
        <v>1937967000</v>
      </c>
      <c r="H242" s="1">
        <v>30418.095648000002</v>
      </c>
      <c r="I242" s="1" t="s">
        <v>9</v>
      </c>
      <c r="J242" s="1" t="str">
        <f>IF(表格1[[#This Row],[B/H/S]]="B", -表格1[[#This Row],[最高]], IF(表格1[[#This Row],[B/H/S]]="S",表格1[[#This Row],[最低]],""))</f>
        <v/>
      </c>
      <c r="K242" s="1" t="str">
        <f>IF(表格1[[#This Row],[買入/賣出價格]]&lt;&gt;"",ABS(表格1[[#This Row],[買入/賣出價格]]),"")</f>
        <v/>
      </c>
    </row>
    <row r="243" spans="1:11" x14ac:dyDescent="0.4">
      <c r="A243" s="3">
        <v>43259</v>
      </c>
      <c r="B243" s="1">
        <v>31435.26</v>
      </c>
      <c r="C243" s="1">
        <v>31435.26</v>
      </c>
      <c r="D243" s="1">
        <v>30874.1</v>
      </c>
      <c r="E243" s="1">
        <v>30958.21</v>
      </c>
      <c r="F243" s="1">
        <v>30958.21</v>
      </c>
      <c r="G243" s="2">
        <v>1721286300</v>
      </c>
      <c r="H243" s="1">
        <v>30484.277709120001</v>
      </c>
      <c r="I243" s="1" t="s">
        <v>9</v>
      </c>
      <c r="J243" s="1" t="str">
        <f>IF(表格1[[#This Row],[B/H/S]]="B", -表格1[[#This Row],[最高]], IF(表格1[[#This Row],[B/H/S]]="S",表格1[[#This Row],[最低]],""))</f>
        <v/>
      </c>
      <c r="K243" s="1" t="str">
        <f>IF(表格1[[#This Row],[買入/賣出價格]]&lt;&gt;"",ABS(表格1[[#This Row],[買入/賣出價格]]),"")</f>
        <v/>
      </c>
    </row>
    <row r="244" spans="1:11" x14ac:dyDescent="0.4">
      <c r="A244" s="3">
        <v>43262</v>
      </c>
      <c r="B244" s="1">
        <v>31016.52</v>
      </c>
      <c r="C244" s="1">
        <v>31134.03</v>
      </c>
      <c r="D244" s="1">
        <v>30898.57</v>
      </c>
      <c r="E244" s="1">
        <v>31063.7</v>
      </c>
      <c r="F244" s="1">
        <v>31063.7</v>
      </c>
      <c r="G244" s="2">
        <v>1323340300</v>
      </c>
      <c r="H244" s="1">
        <v>30546.4888465728</v>
      </c>
      <c r="I244" s="1" t="s">
        <v>9</v>
      </c>
      <c r="J244" s="1" t="str">
        <f>IF(表格1[[#This Row],[B/H/S]]="B", -表格1[[#This Row],[最高]], IF(表格1[[#This Row],[B/H/S]]="S",表格1[[#This Row],[最低]],""))</f>
        <v/>
      </c>
      <c r="K244" s="1" t="str">
        <f>IF(表格1[[#This Row],[買入/賣出價格]]&lt;&gt;"",ABS(表格1[[#This Row],[買入/賣出價格]]),"")</f>
        <v/>
      </c>
    </row>
    <row r="245" spans="1:11" x14ac:dyDescent="0.4">
      <c r="A245" s="3">
        <v>43263</v>
      </c>
      <c r="B245" s="1">
        <v>31029.85</v>
      </c>
      <c r="C245" s="1">
        <v>31242.86</v>
      </c>
      <c r="D245" s="1">
        <v>30944.97</v>
      </c>
      <c r="E245" s="1">
        <v>31103.06</v>
      </c>
      <c r="F245" s="1">
        <v>31103.06</v>
      </c>
      <c r="G245" s="2">
        <v>1378992000</v>
      </c>
      <c r="H245" s="1">
        <v>30604.967315778431</v>
      </c>
      <c r="I245" s="1" t="s">
        <v>9</v>
      </c>
      <c r="J245" s="1" t="str">
        <f>IF(表格1[[#This Row],[B/H/S]]="B", -表格1[[#This Row],[最高]], IF(表格1[[#This Row],[B/H/S]]="S",表格1[[#This Row],[最低]],""))</f>
        <v/>
      </c>
      <c r="K245" s="1" t="str">
        <f>IF(表格1[[#This Row],[買入/賣出價格]]&lt;&gt;"",ABS(表格1[[#This Row],[買入/賣出價格]]),"")</f>
        <v/>
      </c>
    </row>
    <row r="246" spans="1:11" x14ac:dyDescent="0.4">
      <c r="A246" s="3">
        <v>43264</v>
      </c>
      <c r="B246" s="1">
        <v>30990.37</v>
      </c>
      <c r="C246" s="1">
        <v>31023.73</v>
      </c>
      <c r="D246" s="1">
        <v>30688.26</v>
      </c>
      <c r="E246" s="1">
        <v>30725.15</v>
      </c>
      <c r="F246" s="1">
        <v>30725.15</v>
      </c>
      <c r="G246" s="2">
        <v>1630943500</v>
      </c>
      <c r="H246" s="1">
        <v>30659.937076831724</v>
      </c>
      <c r="I246" s="1" t="s">
        <v>9</v>
      </c>
      <c r="J246" s="1" t="str">
        <f>IF(表格1[[#This Row],[B/H/S]]="B", -表格1[[#This Row],[最高]], IF(表格1[[#This Row],[B/H/S]]="S",表格1[[#This Row],[最低]],""))</f>
        <v/>
      </c>
      <c r="K246" s="1" t="str">
        <f>IF(表格1[[#This Row],[買入/賣出價格]]&lt;&gt;"",ABS(表格1[[#This Row],[買入/賣出價格]]),"")</f>
        <v/>
      </c>
    </row>
    <row r="247" spans="1:11" x14ac:dyDescent="0.4">
      <c r="A247" s="3">
        <v>43265</v>
      </c>
      <c r="B247" s="1">
        <v>30684.07</v>
      </c>
      <c r="C247" s="1">
        <v>30777.96</v>
      </c>
      <c r="D247" s="1">
        <v>30349.96</v>
      </c>
      <c r="E247" s="1">
        <v>30440.17</v>
      </c>
      <c r="F247" s="1">
        <v>30440.17</v>
      </c>
      <c r="G247" s="2">
        <v>2128385000</v>
      </c>
      <c r="H247" s="1">
        <v>31242.86</v>
      </c>
      <c r="I247" s="1" t="s">
        <v>11</v>
      </c>
      <c r="J247" s="1">
        <f>IF(表格1[[#This Row],[B/H/S]]="B", -表格1[[#This Row],[最高]], IF(表格1[[#This Row],[B/H/S]]="S",表格1[[#This Row],[最低]],""))</f>
        <v>30349.96</v>
      </c>
      <c r="K247" s="1">
        <f>IF(表格1[[#This Row],[買入/賣出價格]]&lt;&gt;"",ABS(表格1[[#This Row],[買入/賣出價格]]),"")</f>
        <v>30349.96</v>
      </c>
    </row>
    <row r="248" spans="1:11" x14ac:dyDescent="0.4">
      <c r="A248" s="3">
        <v>43266</v>
      </c>
      <c r="B248" s="1">
        <v>30411.07</v>
      </c>
      <c r="C248" s="1">
        <v>30519.29</v>
      </c>
      <c r="D248" s="1">
        <v>30259.11</v>
      </c>
      <c r="E248" s="1">
        <v>30309.49</v>
      </c>
      <c r="F248" s="1">
        <v>30309.49</v>
      </c>
      <c r="G248" s="2">
        <v>2336474000</v>
      </c>
      <c r="H248" s="1">
        <v>31225.002</v>
      </c>
      <c r="I248" s="1" t="s">
        <v>9</v>
      </c>
      <c r="J248" s="1" t="str">
        <f>IF(表格1[[#This Row],[B/H/S]]="B", -表格1[[#This Row],[最高]], IF(表格1[[#This Row],[B/H/S]]="S",表格1[[#This Row],[最低]],""))</f>
        <v/>
      </c>
      <c r="K248" s="1" t="str">
        <f>IF(表格1[[#This Row],[買入/賣出價格]]&lt;&gt;"",ABS(表格1[[#This Row],[買入/賣出價格]]),"")</f>
        <v/>
      </c>
    </row>
    <row r="249" spans="1:11" x14ac:dyDescent="0.4">
      <c r="A249" s="4" t="s">
        <v>13</v>
      </c>
      <c r="B249" s="4"/>
      <c r="C249" s="4"/>
      <c r="D249" s="4"/>
      <c r="E249" s="4"/>
      <c r="F249" s="1"/>
      <c r="G249" s="4"/>
      <c r="H249" s="4"/>
      <c r="I249" s="4"/>
      <c r="J249" s="1">
        <f>SUBTOTAL(109,表格1[買入/賣出價格])-表格1[[#Totals],[ABS(買入/賣出價格)]]*0.005</f>
        <v>-6578.7868999999973</v>
      </c>
      <c r="K249" s="1">
        <f>SUBTOTAL(109,表格1[ABS(買入/賣出價格)])</f>
        <v>820725.38000000012</v>
      </c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36F7D0-F37A-4AEC-BE1C-D34FDC1FBC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Tang</dc:creator>
  <cp:lastModifiedBy>David Tang</cp:lastModifiedBy>
  <dcterms:created xsi:type="dcterms:W3CDTF">2018-06-17T11:40:29Z</dcterms:created>
  <dcterms:modified xsi:type="dcterms:W3CDTF">2018-06-20T17:03:47Z</dcterms:modified>
</cp:coreProperties>
</file>