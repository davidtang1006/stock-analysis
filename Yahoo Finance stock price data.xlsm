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277BFCA8-0A1C-E630-347C-98D23832170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 Tang\Documents\General\Stocks\"/>
    </mc:Choice>
  </mc:AlternateContent>
  <xr:revisionPtr revIDLastSave="0" documentId="13_ncr:1_{D9C66A33-EC17-4A30-AC46-D0EDDB83F107}" xr6:coauthVersionLast="34" xr6:coauthVersionMax="34" xr10:uidLastSave="{00000000-0000-0000-0000-000000000000}"/>
  <bookViews>
    <workbookView minimized="1" xWindow="0" yWindow="0" windowWidth="20520" windowHeight="10718" xr2:uid="{C0819870-755B-408F-854B-016824A151F4}"/>
  </bookViews>
  <sheets>
    <sheet name="主頁面" sheetId="1" r:id="rId1"/>
    <sheet name="上市公司列表" sheetId="3" r:id="rId2"/>
  </sheets>
  <definedNames>
    <definedName name="外部資料_1" localSheetId="1" hidden="1">上市公司列表!$A$1:$B$1913</definedName>
    <definedName name="外部資料_1" localSheetId="0" hidden="1">主頁面!$J$2:$P$102</definedName>
    <definedName name="外部資料_10" localSheetId="0" hidden="1">主頁面!$CM$2:$CS$102</definedName>
    <definedName name="外部資料_11" localSheetId="0" hidden="1">主頁面!$CV$2:$DB$101</definedName>
    <definedName name="外部資料_2" localSheetId="0" hidden="1">主頁面!$S$2:$Y$101</definedName>
    <definedName name="外部資料_3" localSheetId="0" hidden="1">主頁面!$AB$2:$AH$101</definedName>
    <definedName name="外部資料_4" localSheetId="0" hidden="1">主頁面!$AK$2:$AQ$101</definedName>
    <definedName name="外部資料_5" localSheetId="0" hidden="1">主頁面!$AT$2:$AZ$101</definedName>
    <definedName name="外部資料_6" localSheetId="0" hidden="1">主頁面!$BC$2:$BI$102</definedName>
    <definedName name="外部資料_7" localSheetId="0" hidden="1">主頁面!$BL$2:$BR$101</definedName>
    <definedName name="外部資料_8" localSheetId="0" hidden="1">主頁面!$BU$2:$CA$101</definedName>
    <definedName name="外部資料_9" localSheetId="0" hidden="1">主頁面!$CD$2:$CJ$101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V1" i="1" l="1"/>
  <c r="CM1" i="1"/>
  <c r="CD1" i="1"/>
  <c r="BU1" i="1"/>
  <c r="BL1" i="1"/>
  <c r="BC1" i="1"/>
  <c r="AT1" i="1"/>
  <c r="AK1" i="1"/>
  <c r="AB1" i="1"/>
  <c r="S1" i="1"/>
  <c r="J1" i="1"/>
  <c r="B12" i="1"/>
  <c r="B3" i="1"/>
  <c r="B4" i="1"/>
  <c r="B5" i="1"/>
  <c r="B6" i="1"/>
  <c r="B7" i="1"/>
  <c r="B8" i="1"/>
  <c r="B9" i="1"/>
  <c r="B10" i="1"/>
  <c r="B11" i="1"/>
  <c r="B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E0A317-30A4-4683-94C6-45E6B7BE8D0B}" keepAlive="1" name="連線" type="5" refreshedVersion="0" background="1" saveData="1">
    <dbPr connection="Provider=Microsoft.Mashup.OleDb.1;Data Source=$Workbook$;Location=&quot;Table 11&quot;" commandType="0"/>
  </connection>
</connections>
</file>

<file path=xl/sharedStrings.xml><?xml version="1.0" encoding="utf-8"?>
<sst xmlns="http://schemas.openxmlformats.org/spreadsheetml/2006/main" count="5008" uniqueCount="4864">
  <si>
    <t>2823</t>
  </si>
  <si>
    <t>2777</t>
  </si>
  <si>
    <t>2233</t>
  </si>
  <si>
    <t>1818</t>
  </si>
  <si>
    <t>1314</t>
  </si>
  <si>
    <t>1199</t>
  </si>
  <si>
    <t>1023</t>
  </si>
  <si>
    <t>0956</t>
  </si>
  <si>
    <t>0880</t>
  </si>
  <si>
    <t>0494</t>
  </si>
  <si>
    <t>0316</t>
  </si>
  <si>
    <t>0238</t>
  </si>
  <si>
    <t>投資組合</t>
  </si>
  <si>
    <t>股票代號</t>
  </si>
  <si>
    <t>上市公司之名稱</t>
  </si>
  <si>
    <t>0001</t>
  </si>
  <si>
    <t>長江和記實業有限公司</t>
  </si>
  <si>
    <t>0002</t>
  </si>
  <si>
    <t>中電控股有限公司</t>
  </si>
  <si>
    <t>0003</t>
  </si>
  <si>
    <t>香港中華煤氣有限公司</t>
  </si>
  <si>
    <t>0004</t>
  </si>
  <si>
    <t>九龍倉集團有限公司</t>
  </si>
  <si>
    <t>0005</t>
  </si>
  <si>
    <t>匯豐控股有限公司</t>
  </si>
  <si>
    <t>0006</t>
  </si>
  <si>
    <t>電能實業有限公司</t>
  </si>
  <si>
    <t>0007</t>
  </si>
  <si>
    <t>凱富能源集團有限公司</t>
  </si>
  <si>
    <t>0008</t>
  </si>
  <si>
    <t>電訊盈科有限公司</t>
  </si>
  <si>
    <t>0009</t>
  </si>
  <si>
    <t>九號運通有限公司</t>
  </si>
  <si>
    <t>0010</t>
  </si>
  <si>
    <t>恒隆集團有限公司</t>
  </si>
  <si>
    <t>0011</t>
  </si>
  <si>
    <t>恒生銀行有限公司</t>
  </si>
  <si>
    <t>0012</t>
  </si>
  <si>
    <t>恒基兆業地產有限公司</t>
  </si>
  <si>
    <t>0014</t>
  </si>
  <si>
    <t>希慎興業有限公司</t>
  </si>
  <si>
    <t>0015</t>
  </si>
  <si>
    <t>盈信控股有限公司</t>
  </si>
  <si>
    <t>0016</t>
  </si>
  <si>
    <t>新鴻基地產發展有限公司</t>
  </si>
  <si>
    <t>0017</t>
  </si>
  <si>
    <t>新世界發展有限公司</t>
  </si>
  <si>
    <t>0018</t>
  </si>
  <si>
    <t>東方報業集團有限公司</t>
  </si>
  <si>
    <t>0019</t>
  </si>
  <si>
    <t>太古股份有限公司'A'</t>
  </si>
  <si>
    <t>0020</t>
  </si>
  <si>
    <t>會德豐有限公司</t>
  </si>
  <si>
    <t>0021</t>
  </si>
  <si>
    <t>大中華地產控股有限公司</t>
  </si>
  <si>
    <t>0022</t>
  </si>
  <si>
    <t>茂盛控股有限公司</t>
  </si>
  <si>
    <t>0023</t>
  </si>
  <si>
    <t>東亞銀行有限公司</t>
  </si>
  <si>
    <t>0024</t>
  </si>
  <si>
    <t>寶威控股有限公司</t>
  </si>
  <si>
    <t>0025</t>
  </si>
  <si>
    <t>其士國際集團有限公司</t>
  </si>
  <si>
    <t>0026</t>
  </si>
  <si>
    <t>中華汽車有限公司</t>
  </si>
  <si>
    <t>0027</t>
  </si>
  <si>
    <t>銀河娛樂集團有限公司</t>
  </si>
  <si>
    <t>0028</t>
  </si>
  <si>
    <t>天安中國投資有限公司</t>
  </si>
  <si>
    <t>0029</t>
  </si>
  <si>
    <t>達力集團有限公司</t>
  </si>
  <si>
    <t>0030</t>
  </si>
  <si>
    <t>萬隆控股集團有限公司</t>
  </si>
  <si>
    <t>0031</t>
  </si>
  <si>
    <t>中國航天國際控股有限公司</t>
  </si>
  <si>
    <t>0032</t>
  </si>
  <si>
    <t>港通控股有限公司</t>
  </si>
  <si>
    <t>0033</t>
  </si>
  <si>
    <t>亞投金融集團有限公司</t>
  </si>
  <si>
    <t>0034</t>
  </si>
  <si>
    <t>九龍建業有限公司</t>
  </si>
  <si>
    <t>0035</t>
  </si>
  <si>
    <t>遠東發展有限公司</t>
  </si>
  <si>
    <t>0036</t>
  </si>
  <si>
    <t>遠東控股國際有限公司</t>
  </si>
  <si>
    <t>0037</t>
  </si>
  <si>
    <t>遠東酒店實業有限公司</t>
  </si>
  <si>
    <t>0038</t>
  </si>
  <si>
    <t>第一拖拉機股份有限公司</t>
  </si>
  <si>
    <t>0039</t>
  </si>
  <si>
    <t>中國北大荒產業集團控股有限公司</t>
  </si>
  <si>
    <t>0040</t>
  </si>
  <si>
    <t>金山工業(集團)有限公司</t>
  </si>
  <si>
    <t>0041</t>
  </si>
  <si>
    <t>鷹君集團有限公司</t>
  </si>
  <si>
    <t>0042</t>
  </si>
  <si>
    <t>東北電氣發展股份有限公司</t>
  </si>
  <si>
    <t>0043</t>
  </si>
  <si>
    <t>卜蜂國際有限公司</t>
  </si>
  <si>
    <t>0044</t>
  </si>
  <si>
    <t>香港飛機工程有限公司</t>
  </si>
  <si>
    <t>0045</t>
  </si>
  <si>
    <t>香港上海大酒店有限公司</t>
  </si>
  <si>
    <t>0046</t>
  </si>
  <si>
    <t>科聯系統集團有限公司</t>
  </si>
  <si>
    <t>0047</t>
  </si>
  <si>
    <t>合興集團控股有限公司</t>
  </si>
  <si>
    <t>0048</t>
  </si>
  <si>
    <t>中國汽車內飾集團有限公司</t>
  </si>
  <si>
    <t>0050</t>
  </si>
  <si>
    <t>香港小輪(集團)有限公司</t>
  </si>
  <si>
    <t>0051</t>
  </si>
  <si>
    <t>海港企業有限公司</t>
  </si>
  <si>
    <t>0052</t>
  </si>
  <si>
    <t>大快活集團有限公司</t>
  </si>
  <si>
    <t>0053</t>
  </si>
  <si>
    <t>國浩集團有限公司</t>
  </si>
  <si>
    <t>0054</t>
  </si>
  <si>
    <t>合和實業有限公司</t>
  </si>
  <si>
    <t>0055</t>
  </si>
  <si>
    <t>中星集團控股有限公司</t>
  </si>
  <si>
    <t>0056</t>
  </si>
  <si>
    <t>聯合地產(香港)有限公司</t>
  </si>
  <si>
    <t>0057</t>
  </si>
  <si>
    <t>震雄集團有限公司</t>
  </si>
  <si>
    <t>0058</t>
  </si>
  <si>
    <t>新威國際控股有限公司</t>
  </si>
  <si>
    <t>0059</t>
  </si>
  <si>
    <t>天譽置業（控股）有限公司</t>
  </si>
  <si>
    <t>0060</t>
  </si>
  <si>
    <t>香港食品投資控股有限公司</t>
  </si>
  <si>
    <t>0061</t>
  </si>
  <si>
    <t>北亞資源控股有限公司</t>
  </si>
  <si>
    <t>0062</t>
  </si>
  <si>
    <t>載通國際控股有限公司</t>
  </si>
  <si>
    <t>0063</t>
  </si>
  <si>
    <t>中國烯谷集團有限公司</t>
  </si>
  <si>
    <t>0064</t>
  </si>
  <si>
    <t>結好控股有限公司</t>
  </si>
  <si>
    <t>0065</t>
  </si>
  <si>
    <t>弘海高新資源有限公司</t>
  </si>
  <si>
    <t>0066</t>
  </si>
  <si>
    <t>香港鐵路有限公司</t>
  </si>
  <si>
    <t>0067</t>
  </si>
  <si>
    <t>中國旭光高新材料集團有限公司</t>
  </si>
  <si>
    <t>0068</t>
  </si>
  <si>
    <t>利興發展有限公司</t>
  </si>
  <si>
    <t>0069</t>
  </si>
  <si>
    <t>香格里拉(亞洲)有限公司</t>
  </si>
  <si>
    <t>0070</t>
  </si>
  <si>
    <t>海王國際集團有限公司</t>
  </si>
  <si>
    <t>0071</t>
  </si>
  <si>
    <t>美麗華酒店企業有限公司</t>
  </si>
  <si>
    <t>0072</t>
  </si>
  <si>
    <t>現代傳播控股有限公司</t>
  </si>
  <si>
    <t>0073</t>
  </si>
  <si>
    <t>亞洲果業控股有限公司</t>
  </si>
  <si>
    <t>0075</t>
  </si>
  <si>
    <t>渝太地產集團有限公司</t>
  </si>
  <si>
    <t>0076</t>
  </si>
  <si>
    <t>南海石油控股有限公司</t>
  </si>
  <si>
    <t>0077</t>
  </si>
  <si>
    <t>進智公共交通控股有限公司</t>
  </si>
  <si>
    <t>0078</t>
  </si>
  <si>
    <t>富豪酒店國際控股有限公司</t>
  </si>
  <si>
    <t>0079</t>
  </si>
  <si>
    <t>世紀建業(集團)有限公司</t>
  </si>
  <si>
    <t>0080</t>
  </si>
  <si>
    <t>中國新經濟投資有限公司</t>
  </si>
  <si>
    <t>0081</t>
  </si>
  <si>
    <t>中國海外宏洋集團有限公司</t>
  </si>
  <si>
    <t>0082</t>
  </si>
  <si>
    <t>第一視頻集團有限公司</t>
  </si>
  <si>
    <t>0083</t>
  </si>
  <si>
    <t>信和置業有限公司</t>
  </si>
  <si>
    <t>0084</t>
  </si>
  <si>
    <t>寶光實業(國際)有限公司</t>
  </si>
  <si>
    <t>0085</t>
  </si>
  <si>
    <t>中國電子集團控股有限公司</t>
  </si>
  <si>
    <t>0086</t>
  </si>
  <si>
    <t>新鴻基有限公司</t>
  </si>
  <si>
    <t>0087</t>
  </si>
  <si>
    <t>太古股份有限公司'B'</t>
  </si>
  <si>
    <t>0088</t>
  </si>
  <si>
    <t>大昌集團有限公司</t>
  </si>
  <si>
    <t>0089</t>
  </si>
  <si>
    <t>大生地產發展有限公司</t>
  </si>
  <si>
    <t>0090</t>
  </si>
  <si>
    <t>琥珀能源有限公司</t>
  </si>
  <si>
    <t>0091</t>
  </si>
  <si>
    <t>標準資源控股有限公司</t>
  </si>
  <si>
    <t>0092</t>
  </si>
  <si>
    <t>冠軍科技集團有限公司</t>
  </si>
  <si>
    <t>0093</t>
  </si>
  <si>
    <t>添利工業國際(集團)有限公司</t>
  </si>
  <si>
    <t>0094</t>
  </si>
  <si>
    <t>綠心集團有限公司</t>
  </si>
  <si>
    <t>0095</t>
  </si>
  <si>
    <t>綠景(中國)地產投資有限公司</t>
  </si>
  <si>
    <t>0096</t>
  </si>
  <si>
    <t>友成控股有限公司</t>
  </si>
  <si>
    <t>0097</t>
  </si>
  <si>
    <t>恒基兆業發展有限公司</t>
  </si>
  <si>
    <t>0098</t>
  </si>
  <si>
    <t>興發鋁業控股有限公司</t>
  </si>
  <si>
    <t>0099</t>
  </si>
  <si>
    <t>王氏國際集團有限公司</t>
  </si>
  <si>
    <t>0100</t>
  </si>
  <si>
    <t>白馬戶外媒體有限公司</t>
  </si>
  <si>
    <t>0101</t>
  </si>
  <si>
    <t>恒隆地產有限公司</t>
  </si>
  <si>
    <t>0102</t>
  </si>
  <si>
    <t>凱升控股有限公司</t>
  </si>
  <si>
    <t>0103</t>
  </si>
  <si>
    <t>首長寶佳集團有限公司</t>
  </si>
  <si>
    <t>0104</t>
  </si>
  <si>
    <t>冠亞商業集團有限公司</t>
  </si>
  <si>
    <t>0105</t>
  </si>
  <si>
    <t>凱聯國際酒店有限公司</t>
  </si>
  <si>
    <t>0106</t>
  </si>
  <si>
    <t>朗詩綠色地產有限公司</t>
  </si>
  <si>
    <t>0107</t>
  </si>
  <si>
    <t>四川成渝高速公路股份有限公司</t>
  </si>
  <si>
    <t>0108</t>
  </si>
  <si>
    <t>國銳地產有限公司</t>
  </si>
  <si>
    <t>0109</t>
  </si>
  <si>
    <t>天成國際集團控股有限公司</t>
  </si>
  <si>
    <t>0110</t>
  </si>
  <si>
    <t>中國長遠控股有限公司</t>
  </si>
  <si>
    <t>0111</t>
  </si>
  <si>
    <t>信達國際控股有限公司</t>
  </si>
  <si>
    <t>0112</t>
  </si>
  <si>
    <t>勒泰商業地產有限公司</t>
  </si>
  <si>
    <t>0113</t>
  </si>
  <si>
    <t>迪生創建（國際）有限公司</t>
  </si>
  <si>
    <t>0114</t>
  </si>
  <si>
    <t>興利集團有限公司</t>
  </si>
  <si>
    <t>0115</t>
  </si>
  <si>
    <t>鈞濠集團有限公司</t>
  </si>
  <si>
    <t>0116</t>
  </si>
  <si>
    <t>周生生集團國際有限公司</t>
  </si>
  <si>
    <t>0117</t>
  </si>
  <si>
    <t>天利控股集團有限公司</t>
  </si>
  <si>
    <t>0118</t>
  </si>
  <si>
    <t>大同機械企業有限公司</t>
  </si>
  <si>
    <t>0119</t>
  </si>
  <si>
    <t>保利置業集團有限公司</t>
  </si>
  <si>
    <t>0120</t>
  </si>
  <si>
    <t>四海國際集團有限公司</t>
  </si>
  <si>
    <t>0121</t>
  </si>
  <si>
    <t>卜蜂蓮花有限公司</t>
  </si>
  <si>
    <t>0122</t>
  </si>
  <si>
    <t>鱷魚恤有限公司</t>
  </si>
  <si>
    <t>0123</t>
  </si>
  <si>
    <t>越秀地產股份有限公司</t>
  </si>
  <si>
    <t>0124</t>
  </si>
  <si>
    <t>粤海置地控股有限公司</t>
  </si>
  <si>
    <t>0125</t>
  </si>
  <si>
    <t>新興光學集團控股有限公司</t>
  </si>
  <si>
    <t>0126</t>
  </si>
  <si>
    <t>佳寧娜集團控股有限公司</t>
  </si>
  <si>
    <t>0127</t>
  </si>
  <si>
    <t>華人置業集團</t>
  </si>
  <si>
    <t>0128</t>
  </si>
  <si>
    <t>安寧控股有限公司</t>
  </si>
  <si>
    <t>0129</t>
  </si>
  <si>
    <t>泛海國際集團有限公司</t>
  </si>
  <si>
    <t>0130</t>
  </si>
  <si>
    <t>慕詩國際集團有限公司</t>
  </si>
  <si>
    <t>0131</t>
  </si>
  <si>
    <t>卓能(集團)有限公司</t>
  </si>
  <si>
    <t>0132</t>
  </si>
  <si>
    <t>中國興業控股有限公司</t>
  </si>
  <si>
    <t>0133</t>
  </si>
  <si>
    <t>招商局中國基金有限公司</t>
  </si>
  <si>
    <t>0135</t>
  </si>
  <si>
    <t>昆侖能源有限公司</t>
  </si>
  <si>
    <t>0136</t>
  </si>
  <si>
    <t>恒騰網絡集團有限公司</t>
  </si>
  <si>
    <t>0137</t>
  </si>
  <si>
    <t>金輝集團有限公司</t>
  </si>
  <si>
    <t>0138</t>
  </si>
  <si>
    <t>中建富通集團有限公司</t>
  </si>
  <si>
    <t>0139</t>
  </si>
  <si>
    <t>中國軟實力科技集團有限公司</t>
  </si>
  <si>
    <t>0141</t>
  </si>
  <si>
    <t>大中華集團有限公司</t>
  </si>
  <si>
    <t>0142</t>
  </si>
  <si>
    <t>第一太平有限公司</t>
  </si>
  <si>
    <t>0143</t>
  </si>
  <si>
    <t>耀科國際(控股)有限公司</t>
  </si>
  <si>
    <t>0144</t>
  </si>
  <si>
    <t>招商局港口控股有限公司</t>
  </si>
  <si>
    <t>0145</t>
  </si>
  <si>
    <t>香港建屋貸款有限公司</t>
  </si>
  <si>
    <t>0146</t>
  </si>
  <si>
    <t>太平地氈國際有限公司</t>
  </si>
  <si>
    <t>0147</t>
  </si>
  <si>
    <t>國際商業結算控股有限公司</t>
  </si>
  <si>
    <t>0148</t>
  </si>
  <si>
    <t>建滔化工集團有限公司</t>
  </si>
  <si>
    <t>0149</t>
  </si>
  <si>
    <t>中國農產品交易有限公司</t>
  </si>
  <si>
    <t>0151</t>
  </si>
  <si>
    <t>中國旺旺控股有限公司</t>
  </si>
  <si>
    <t>0152</t>
  </si>
  <si>
    <t>深圳國際控股有限公司</t>
  </si>
  <si>
    <t>0153</t>
  </si>
  <si>
    <t>中國賽特集團有限公司</t>
  </si>
  <si>
    <t>0154</t>
  </si>
  <si>
    <t>北京控股環境集團有限公司</t>
  </si>
  <si>
    <t>0155</t>
  </si>
  <si>
    <t>中國源暢光電能源控股有限公司</t>
  </si>
  <si>
    <t>0156</t>
  </si>
  <si>
    <t>力寶華潤有限公司</t>
  </si>
  <si>
    <t>0157</t>
  </si>
  <si>
    <t>自然美生物科技有限公司</t>
  </si>
  <si>
    <t>0158</t>
  </si>
  <si>
    <t>萬邦投資有限公司</t>
  </si>
  <si>
    <t>0159</t>
  </si>
  <si>
    <t>布萊克萬礦業有限公司</t>
  </si>
  <si>
    <t>0160</t>
  </si>
  <si>
    <t>漢國置業有限公司</t>
  </si>
  <si>
    <t>0161</t>
  </si>
  <si>
    <t>中航國際控股股份有限公司</t>
  </si>
  <si>
    <t>0162</t>
  </si>
  <si>
    <t>世紀金花商業控股有限公司</t>
  </si>
  <si>
    <t>0163</t>
  </si>
  <si>
    <t>英皇集團(國際)有限公司</t>
  </si>
  <si>
    <t>0164</t>
  </si>
  <si>
    <t>中國寶力科技控股有限公司</t>
  </si>
  <si>
    <t>0165</t>
  </si>
  <si>
    <t>中國光大控股有限公司</t>
  </si>
  <si>
    <t>0166</t>
  </si>
  <si>
    <t>新時代能源有限公司</t>
  </si>
  <si>
    <t>0167</t>
  </si>
  <si>
    <t>萬威國際有限公司</t>
  </si>
  <si>
    <t>0168</t>
  </si>
  <si>
    <t>青島啤酒股份有限公司</t>
  </si>
  <si>
    <t>0169</t>
  </si>
  <si>
    <t>萬達酒店發展有限公司</t>
  </si>
  <si>
    <t>0170</t>
  </si>
  <si>
    <t>中國資本(控股)有限公司</t>
  </si>
  <si>
    <t>0171</t>
  </si>
  <si>
    <t>銀建國際實業有限公司</t>
  </si>
  <si>
    <t>0172</t>
  </si>
  <si>
    <t>金榜集團控股有限公司</t>
  </si>
  <si>
    <t>0173</t>
  </si>
  <si>
    <t>嘉華國際集團有限公司</t>
  </si>
  <si>
    <t>0174</t>
  </si>
  <si>
    <t>盛洋投資(控股)有限公司</t>
  </si>
  <si>
    <t>0175</t>
  </si>
  <si>
    <t>吉利汽車控股有限公司</t>
  </si>
  <si>
    <t>0176</t>
  </si>
  <si>
    <t>先機企業集團有限公司</t>
  </si>
  <si>
    <t>0177</t>
  </si>
  <si>
    <t>江蘇寧滬高速公路股份有限公司</t>
  </si>
  <si>
    <t>0178</t>
  </si>
  <si>
    <t>莎莎國際控股有限公司</t>
  </si>
  <si>
    <t>0179</t>
  </si>
  <si>
    <t>德昌電機控股有限公司</t>
  </si>
  <si>
    <t>0180</t>
  </si>
  <si>
    <t>開達集團有限公司</t>
  </si>
  <si>
    <t>0181</t>
  </si>
  <si>
    <t>閩港控股有限公司</t>
  </si>
  <si>
    <t>0182</t>
  </si>
  <si>
    <t>協合新能源集團有限公司</t>
  </si>
  <si>
    <t>0183</t>
  </si>
  <si>
    <t>宏輝集團控股有限公司</t>
  </si>
  <si>
    <t>0184</t>
  </si>
  <si>
    <t>激成投資(香港)有限公司</t>
  </si>
  <si>
    <t>0185</t>
  </si>
  <si>
    <t>正恒國際控股有限公司</t>
  </si>
  <si>
    <t>0186</t>
  </si>
  <si>
    <t>嘉域集團有限公司</t>
  </si>
  <si>
    <t>0187</t>
  </si>
  <si>
    <t>北京京城機電股份有限公司</t>
  </si>
  <si>
    <t>0188</t>
  </si>
  <si>
    <t>新華滙富金融控股有限公司</t>
  </si>
  <si>
    <t>0189</t>
  </si>
  <si>
    <t>東岳集團有限公司</t>
  </si>
  <si>
    <t>0190</t>
  </si>
  <si>
    <t>香港建設(控股)有限公司</t>
  </si>
  <si>
    <t>0191</t>
  </si>
  <si>
    <t>麗新製衣國際有限公司</t>
  </si>
  <si>
    <t>0193</t>
  </si>
  <si>
    <t>冠中地產有限公司</t>
  </si>
  <si>
    <t>0194</t>
  </si>
  <si>
    <t>廖創興企業有限公司</t>
  </si>
  <si>
    <t>0195</t>
  </si>
  <si>
    <t>利海資源國際控股有限公司</t>
  </si>
  <si>
    <t>0196</t>
  </si>
  <si>
    <t>宏華集團有限公司</t>
  </si>
  <si>
    <t>0197</t>
  </si>
  <si>
    <t>亨泰消費品集團有限公司</t>
  </si>
  <si>
    <t>0198</t>
  </si>
  <si>
    <t>星美控股集團有限公司</t>
  </si>
  <si>
    <t>0199</t>
  </si>
  <si>
    <t>德祥地產集團有限公司</t>
  </si>
  <si>
    <t>0200</t>
  </si>
  <si>
    <t>新濠國際發展有限公司</t>
  </si>
  <si>
    <t>0201</t>
  </si>
  <si>
    <t>華大酒店投資有限公司</t>
  </si>
  <si>
    <t>0202</t>
  </si>
  <si>
    <t>潤中國際控股有限公司</t>
  </si>
  <si>
    <t>0204</t>
  </si>
  <si>
    <t>中國投資開發有限公司</t>
  </si>
  <si>
    <t>0205</t>
  </si>
  <si>
    <t>財訊傳媒集團有限公司</t>
  </si>
  <si>
    <t>0206</t>
  </si>
  <si>
    <t>TSC集團控股有限公司</t>
  </si>
  <si>
    <t>0207</t>
  </si>
  <si>
    <t>大悅城地產有限公司</t>
  </si>
  <si>
    <t>0208</t>
  </si>
  <si>
    <t>保利達資產控股有限公司</t>
  </si>
  <si>
    <t>0209</t>
  </si>
  <si>
    <t>瀛晟科學有限公司</t>
  </si>
  <si>
    <t>0210</t>
  </si>
  <si>
    <t>達芙妮國際控股有限公司</t>
  </si>
  <si>
    <t>0211</t>
  </si>
  <si>
    <t>大凌集團有限公司</t>
  </si>
  <si>
    <t>0212</t>
  </si>
  <si>
    <t>南洋集團有限公司</t>
  </si>
  <si>
    <t>0213</t>
  </si>
  <si>
    <t>樂聲電子有限公司</t>
  </si>
  <si>
    <t>0214</t>
  </si>
  <si>
    <t>匯漢控股有限公司</t>
  </si>
  <si>
    <t>0215</t>
  </si>
  <si>
    <t>和記電訊香港控股有限公司</t>
  </si>
  <si>
    <t>0216</t>
  </si>
  <si>
    <t>建業實業有限公司</t>
  </si>
  <si>
    <t>0217</t>
  </si>
  <si>
    <t>中國誠通發展集團有限公司</t>
  </si>
  <si>
    <t>0218</t>
  </si>
  <si>
    <t>申萬宏源(香港)有限公司</t>
  </si>
  <si>
    <t>0219</t>
  </si>
  <si>
    <t>順豪物業投資有限公司</t>
  </si>
  <si>
    <t>0220</t>
  </si>
  <si>
    <t>統一企業中國控股有限公司</t>
  </si>
  <si>
    <t>0221</t>
  </si>
  <si>
    <t>易易壹金融集團有限公司</t>
  </si>
  <si>
    <t>0222</t>
  </si>
  <si>
    <t>閩信集團有限公司</t>
  </si>
  <si>
    <t>0223</t>
  </si>
  <si>
    <t>易生活控股有限公司</t>
  </si>
  <si>
    <t>0224</t>
  </si>
  <si>
    <t>建生國際集團有限公司</t>
  </si>
  <si>
    <t>0225</t>
  </si>
  <si>
    <t>博富臨置業有限公司</t>
  </si>
  <si>
    <t>0226</t>
  </si>
  <si>
    <t>力寶有限公司</t>
  </si>
  <si>
    <t>0227</t>
  </si>
  <si>
    <t>第一上海投資有限公司</t>
  </si>
  <si>
    <t>0228</t>
  </si>
  <si>
    <t>中國能源開發控股有限公司</t>
  </si>
  <si>
    <t>0229</t>
  </si>
  <si>
    <t>利民實業有限公司</t>
  </si>
  <si>
    <t>0230</t>
  </si>
  <si>
    <t>五礦地產有限公司</t>
  </si>
  <si>
    <t>0231</t>
  </si>
  <si>
    <t>平安證劵集團 (控股) 有限公司</t>
  </si>
  <si>
    <t>0232</t>
  </si>
  <si>
    <t>中國航空工業國際控股(香港)有限公司</t>
  </si>
  <si>
    <t>0233</t>
  </si>
  <si>
    <t>銘源醫療發展有限公司</t>
  </si>
  <si>
    <t>0234</t>
  </si>
  <si>
    <t>新世紀集團香港有限公司</t>
  </si>
  <si>
    <t>0235</t>
  </si>
  <si>
    <t>中策集團有限公司</t>
  </si>
  <si>
    <t>0236</t>
  </si>
  <si>
    <t>香港生力啤酒廠有限公司</t>
  </si>
  <si>
    <t>0237</t>
  </si>
  <si>
    <t>安全貨倉有限公司</t>
  </si>
  <si>
    <t>長興國際(集團)控股有限公司</t>
  </si>
  <si>
    <t>0239</t>
  </si>
  <si>
    <t>白花油國際有限公司</t>
  </si>
  <si>
    <t>0240</t>
  </si>
  <si>
    <t>利基控股有限公司</t>
  </si>
  <si>
    <t>0241</t>
  </si>
  <si>
    <t>阿里健康信息技術有限公司</t>
  </si>
  <si>
    <t>0242</t>
  </si>
  <si>
    <t>信德集團有限公司</t>
  </si>
  <si>
    <t>0243</t>
  </si>
  <si>
    <t>品質國際集團有限公司</t>
  </si>
  <si>
    <t>0244</t>
  </si>
  <si>
    <t>先施有限公司</t>
  </si>
  <si>
    <t>0245</t>
  </si>
  <si>
    <t>中國民生金融控股有限公司</t>
  </si>
  <si>
    <t>0246</t>
  </si>
  <si>
    <t>瑞金礦業有限公司</t>
  </si>
  <si>
    <t>0247</t>
  </si>
  <si>
    <t>尖沙咀置業集團有限公司</t>
  </si>
  <si>
    <t>0248</t>
  </si>
  <si>
    <t>香港通訊國際控股有限公司</t>
  </si>
  <si>
    <t>0250</t>
  </si>
  <si>
    <t>中國數碼信息有限公司</t>
  </si>
  <si>
    <t>0251</t>
  </si>
  <si>
    <t>爪哇控股有限公司</t>
  </si>
  <si>
    <t>0252</t>
  </si>
  <si>
    <t>華信地產財務有限公司</t>
  </si>
  <si>
    <t>0253</t>
  </si>
  <si>
    <t>順豪控股有限公司</t>
  </si>
  <si>
    <t>0254</t>
  </si>
  <si>
    <t>國家聯合資源控股有限公司</t>
  </si>
  <si>
    <t>0255</t>
  </si>
  <si>
    <t>龍記(百慕達)集團有限公司</t>
  </si>
  <si>
    <t>0256</t>
  </si>
  <si>
    <t>冠城鐘錶珠寶集團有限公司</t>
  </si>
  <si>
    <t>0257</t>
  </si>
  <si>
    <t>中國光大國際有限公司</t>
  </si>
  <si>
    <t>0258</t>
  </si>
  <si>
    <t>湯臣集團有限公司</t>
  </si>
  <si>
    <t>0259</t>
  </si>
  <si>
    <t>億都 (國際控股) 有限公司</t>
  </si>
  <si>
    <t>0260</t>
  </si>
  <si>
    <t>幸福控股（香港）有限公司</t>
  </si>
  <si>
    <t>0261</t>
  </si>
  <si>
    <t>中建置地集團有限公司</t>
  </si>
  <si>
    <t>0262</t>
  </si>
  <si>
    <t>迪臣發展國際集團有限公司</t>
  </si>
  <si>
    <t>0263</t>
  </si>
  <si>
    <t>高富集團控股有限公司</t>
  </si>
  <si>
    <t>0264</t>
  </si>
  <si>
    <t>中璽國際控股有限公司</t>
  </si>
  <si>
    <t>0265</t>
  </si>
  <si>
    <t>東勝旅遊集團有限公司</t>
  </si>
  <si>
    <t>0266</t>
  </si>
  <si>
    <t>天德地產有限公司</t>
  </si>
  <si>
    <t>0267</t>
  </si>
  <si>
    <t>中國中信股份有限公司</t>
  </si>
  <si>
    <t>0268</t>
  </si>
  <si>
    <t>金蝶國際軟件集團有限公司</t>
  </si>
  <si>
    <t>0269</t>
  </si>
  <si>
    <t>中國資源交通集團有限公司</t>
  </si>
  <si>
    <t>0270</t>
  </si>
  <si>
    <t>粵海投資有限公司</t>
  </si>
  <si>
    <t>0271</t>
  </si>
  <si>
    <t>亞證地產有限公司</t>
  </si>
  <si>
    <t>0272</t>
  </si>
  <si>
    <t>瑞安房地產有限公司</t>
  </si>
  <si>
    <t>0273</t>
  </si>
  <si>
    <t>茂宸集團控股有限公司</t>
  </si>
  <si>
    <t>0274</t>
  </si>
  <si>
    <t>中富資源有限公司</t>
  </si>
  <si>
    <t>0275</t>
  </si>
  <si>
    <t>凱華集團有限公司</t>
  </si>
  <si>
    <t>0276</t>
  </si>
  <si>
    <t>蒙古能源有限公司</t>
  </si>
  <si>
    <t>0277</t>
  </si>
  <si>
    <t>太興置業有限公司</t>
  </si>
  <si>
    <t>0278</t>
  </si>
  <si>
    <t>華廈置業有限公司</t>
  </si>
  <si>
    <t>0279</t>
  </si>
  <si>
    <t>民眾金融科技控股有限公司</t>
  </si>
  <si>
    <t>0280</t>
  </si>
  <si>
    <t>景福集團有限公司</t>
  </si>
  <si>
    <t>0281</t>
  </si>
  <si>
    <t>川河集團有限公司</t>
  </si>
  <si>
    <t>0282</t>
  </si>
  <si>
    <t>壹傳媒有限公司</t>
  </si>
  <si>
    <t>0283</t>
  </si>
  <si>
    <t>高銀地產控股有限公司</t>
  </si>
  <si>
    <t>0285</t>
  </si>
  <si>
    <t>比亞迪電子（國際）有限公司</t>
  </si>
  <si>
    <t>0286</t>
  </si>
  <si>
    <t>同佳國際健康產業集團有限公司</t>
  </si>
  <si>
    <t>0287</t>
  </si>
  <si>
    <t>永發置業有限公司</t>
  </si>
  <si>
    <t>0288</t>
  </si>
  <si>
    <t>萬洲國際有限公司</t>
  </si>
  <si>
    <t>0289</t>
  </si>
  <si>
    <t>永安國際有限公司</t>
  </si>
  <si>
    <t>0290</t>
  </si>
  <si>
    <t>中國富強金融集團有限公司</t>
  </si>
  <si>
    <t>0291</t>
  </si>
  <si>
    <t>華潤啤酒(控股)有限公司</t>
  </si>
  <si>
    <t>0292</t>
  </si>
  <si>
    <t>泛海酒店集團有限公司</t>
  </si>
  <si>
    <t>0293</t>
  </si>
  <si>
    <t>國泰航空有限公司</t>
  </si>
  <si>
    <t>0294</t>
  </si>
  <si>
    <t>長江製衣有限公司</t>
  </si>
  <si>
    <t>0295</t>
  </si>
  <si>
    <t>江山控股有限公司</t>
  </si>
  <si>
    <t>0296</t>
  </si>
  <si>
    <t>英皇娛樂酒店有限公司</t>
  </si>
  <si>
    <t>0297</t>
  </si>
  <si>
    <t>中化化肥控股有限公司</t>
  </si>
  <si>
    <t>0298</t>
  </si>
  <si>
    <t>莊士中國投資有限公司</t>
  </si>
  <si>
    <t>0299</t>
  </si>
  <si>
    <t>新體育集團有限公司</t>
  </si>
  <si>
    <t>0300</t>
  </si>
  <si>
    <t>沈機集團昆明機床股份有限公司</t>
  </si>
  <si>
    <t>0303</t>
  </si>
  <si>
    <t>偉易達集團有限公司</t>
  </si>
  <si>
    <t>0305</t>
  </si>
  <si>
    <t>五菱汽車集團控股有限公司</t>
  </si>
  <si>
    <t>0306</t>
  </si>
  <si>
    <t>冠忠巴士集團有限公司</t>
  </si>
  <si>
    <t>0307</t>
  </si>
  <si>
    <t>優派能源發展集團有限公司</t>
  </si>
  <si>
    <t>0308</t>
  </si>
  <si>
    <t>香港中旅國際投資有限公司</t>
  </si>
  <si>
    <t>0309</t>
  </si>
  <si>
    <t>新華通訊頻媒控股有限公司</t>
  </si>
  <si>
    <t>0310</t>
  </si>
  <si>
    <t>嘉進投資國際有限公司</t>
  </si>
  <si>
    <t>0311</t>
  </si>
  <si>
    <t>聯泰控股有限公司</t>
  </si>
  <si>
    <t>0312</t>
  </si>
  <si>
    <t>歲寶百貨控股(中國)有限公司</t>
  </si>
  <si>
    <t>0313</t>
  </si>
  <si>
    <t>裕田中國發展有限公司</t>
  </si>
  <si>
    <t>0315</t>
  </si>
  <si>
    <t>數碼通電訊集團有限公司</t>
  </si>
  <si>
    <t>東方海外(國際)有限公司</t>
  </si>
  <si>
    <t>0317</t>
  </si>
  <si>
    <t>中船海洋與防務裝備股份有限公司</t>
  </si>
  <si>
    <t>0318</t>
  </si>
  <si>
    <t>黃河實業有限公司</t>
  </si>
  <si>
    <t>0319</t>
  </si>
  <si>
    <t>勤美達國際控股有限公司</t>
  </si>
  <si>
    <t>0320</t>
  </si>
  <si>
    <t>金寶通集團有限公司</t>
  </si>
  <si>
    <t>0321</t>
  </si>
  <si>
    <t>德永佳集團有限公司</t>
  </si>
  <si>
    <t>0322</t>
  </si>
  <si>
    <t>康師傅控股有限公司</t>
  </si>
  <si>
    <t>0323</t>
  </si>
  <si>
    <t>馬鞍山鋼鐵股份有限公司</t>
  </si>
  <si>
    <t>0326</t>
  </si>
  <si>
    <t>中國星集團有限公司</t>
  </si>
  <si>
    <t>0327</t>
  </si>
  <si>
    <t>百富環球科技有限公司</t>
  </si>
  <si>
    <t>0328</t>
  </si>
  <si>
    <t>愛高集團有限公司</t>
  </si>
  <si>
    <t>0329</t>
  </si>
  <si>
    <t>東建國際控股有限公司</t>
  </si>
  <si>
    <t>0330</t>
  </si>
  <si>
    <t>思捷環球控股有限公司</t>
  </si>
  <si>
    <t>0331</t>
  </si>
  <si>
    <t>豐盛機電控股有限公司</t>
  </si>
  <si>
    <t>0332</t>
  </si>
  <si>
    <t>元亨燃氣控股有限公司</t>
  </si>
  <si>
    <t>0333</t>
  </si>
  <si>
    <t>黛麗斯國際有限公司</t>
  </si>
  <si>
    <t>0334</t>
  </si>
  <si>
    <t>華顯光電技術控股有限公司</t>
  </si>
  <si>
    <t>0335</t>
  </si>
  <si>
    <t>美建集團有限公司</t>
  </si>
  <si>
    <t>0336</t>
  </si>
  <si>
    <t>華寶國際控股有限公司</t>
  </si>
  <si>
    <t>0337</t>
  </si>
  <si>
    <t>綠地香港控股有限公司</t>
  </si>
  <si>
    <t>0338</t>
  </si>
  <si>
    <t>中國石化上海石油化工股份有限公司</t>
  </si>
  <si>
    <t>0339</t>
  </si>
  <si>
    <t>安利時投資控股有限公司</t>
  </si>
  <si>
    <t>0340</t>
  </si>
  <si>
    <t>中國礦業資源集團有限公司</t>
  </si>
  <si>
    <t>0341</t>
  </si>
  <si>
    <t>大家樂集團有限公司</t>
  </si>
  <si>
    <t>0342</t>
  </si>
  <si>
    <t>新海能源集團有限公司</t>
  </si>
  <si>
    <t>0343</t>
  </si>
  <si>
    <t>文化傳信集團有限公司</t>
  </si>
  <si>
    <t>0345</t>
  </si>
  <si>
    <t>維他奶國際集團有限公司</t>
  </si>
  <si>
    <t>0346</t>
  </si>
  <si>
    <t>延長石油國際有限公司</t>
  </si>
  <si>
    <t>0347</t>
  </si>
  <si>
    <t>鞍鋼股份有限公司</t>
  </si>
  <si>
    <t>0348</t>
  </si>
  <si>
    <t>中國智能健康控股有限公司</t>
  </si>
  <si>
    <t>0351</t>
  </si>
  <si>
    <t>亞洲能源物流集團有限公司</t>
  </si>
  <si>
    <t>0352</t>
  </si>
  <si>
    <t>富陽(中國)控股有限公司</t>
  </si>
  <si>
    <t>0353</t>
  </si>
  <si>
    <t>能源國際投資控股有限公司</t>
  </si>
  <si>
    <t>0354</t>
  </si>
  <si>
    <t>中軟國際有限公司</t>
  </si>
  <si>
    <t>0355</t>
  </si>
  <si>
    <t>世紀城市國際控股有限公司</t>
  </si>
  <si>
    <t>0356</t>
  </si>
  <si>
    <t>鼎立資本有限公司</t>
  </si>
  <si>
    <t>0357</t>
  </si>
  <si>
    <t>海航基礎股份有限公司</t>
  </si>
  <si>
    <t>0358</t>
  </si>
  <si>
    <t>江西銅業股份有限公司</t>
  </si>
  <si>
    <t>0359</t>
  </si>
  <si>
    <t>中國海升果汁控股有限公司</t>
  </si>
  <si>
    <t>0360</t>
  </si>
  <si>
    <t>新焦點汽車技術控股有限公司</t>
  </si>
  <si>
    <t>0361</t>
  </si>
  <si>
    <t>順龍控股有限公司</t>
  </si>
  <si>
    <t>0362</t>
  </si>
  <si>
    <t>中國天化工集團有限公司</t>
  </si>
  <si>
    <t>0363</t>
  </si>
  <si>
    <t>上海實業控股有限公司</t>
  </si>
  <si>
    <t>0364</t>
  </si>
  <si>
    <t>坪山茶業集團有限公司</t>
  </si>
  <si>
    <t>0365</t>
  </si>
  <si>
    <t>日東科技(控股)有限公司</t>
  </si>
  <si>
    <t>0366</t>
  </si>
  <si>
    <t>陸氏集團(越南控股)有限公司</t>
  </si>
  <si>
    <t>0367</t>
  </si>
  <si>
    <t>莊士機構國際有限公司</t>
  </si>
  <si>
    <t>0368</t>
  </si>
  <si>
    <t>中外運航運有限公司</t>
  </si>
  <si>
    <t>0369</t>
  </si>
  <si>
    <t>永泰地產有限公司</t>
  </si>
  <si>
    <t>0370</t>
  </si>
  <si>
    <t>國華集團控股有限公司</t>
  </si>
  <si>
    <t>0371</t>
  </si>
  <si>
    <t>北控水務集團有限公司</t>
  </si>
  <si>
    <t>0372</t>
  </si>
  <si>
    <t>保德國際發展企業有限公司</t>
  </si>
  <si>
    <t>0373</t>
  </si>
  <si>
    <t>聯合集團有限公司</t>
  </si>
  <si>
    <t>0374</t>
  </si>
  <si>
    <t>四洲集團有限公司</t>
  </si>
  <si>
    <t>0375</t>
  </si>
  <si>
    <t>YGM 貿易有限公司</t>
  </si>
  <si>
    <t>0376</t>
  </si>
  <si>
    <t>雲鋒金融集團有限公司</t>
  </si>
  <si>
    <t>0377</t>
  </si>
  <si>
    <t>華君控股有限公司</t>
  </si>
  <si>
    <t>0378</t>
  </si>
  <si>
    <t>五龍動力有限公司</t>
  </si>
  <si>
    <t>0379</t>
  </si>
  <si>
    <t>中國恒嘉融資租賃集團有限公司</t>
  </si>
  <si>
    <t>0380</t>
  </si>
  <si>
    <t>冠力國際有限公司</t>
  </si>
  <si>
    <t>0381</t>
  </si>
  <si>
    <t>僑雄國際控股有限公司</t>
  </si>
  <si>
    <t>0382</t>
  </si>
  <si>
    <t>威靈控股有限公司</t>
  </si>
  <si>
    <t>0383</t>
  </si>
  <si>
    <t>中國醫療網絡有限公司</t>
  </si>
  <si>
    <t>0384</t>
  </si>
  <si>
    <t>中國燃氣控股有限公司</t>
  </si>
  <si>
    <t>0385</t>
  </si>
  <si>
    <t>建聯集團有限公司</t>
  </si>
  <si>
    <t>0386</t>
  </si>
  <si>
    <t>中國石油化工股份有限公司</t>
  </si>
  <si>
    <t>0387</t>
  </si>
  <si>
    <t>力豐(集團)有限公司</t>
  </si>
  <si>
    <t>0388</t>
  </si>
  <si>
    <t>香港交易及結算所有限公司</t>
  </si>
  <si>
    <t>0389</t>
  </si>
  <si>
    <t>中國通天酒業集團有限公司</t>
  </si>
  <si>
    <t>0390</t>
  </si>
  <si>
    <t>中國中鐵股份有限公司</t>
  </si>
  <si>
    <t>0391</t>
  </si>
  <si>
    <t>美亞娛樂資訊集團有限公司</t>
  </si>
  <si>
    <t>0392</t>
  </si>
  <si>
    <t>北京控股有限公司</t>
  </si>
  <si>
    <t>0393</t>
  </si>
  <si>
    <t>旭日企業有限公司</t>
  </si>
  <si>
    <t>0395</t>
  </si>
  <si>
    <t>中國智能集團控股有限公司</t>
  </si>
  <si>
    <t>0396</t>
  </si>
  <si>
    <t>興利(香港)控股有限公司</t>
  </si>
  <si>
    <t>0397</t>
  </si>
  <si>
    <t>君陽金融控股有限公司</t>
  </si>
  <si>
    <t>0398</t>
  </si>
  <si>
    <t>東方表行集團有限公司</t>
  </si>
  <si>
    <t>0399</t>
  </si>
  <si>
    <t>領航醫藥及生物科技有限公司</t>
  </si>
  <si>
    <t>0400</t>
  </si>
  <si>
    <t>科通芯城集團</t>
  </si>
  <si>
    <t>0401</t>
  </si>
  <si>
    <t>萬嘉集團控股有限公司</t>
  </si>
  <si>
    <t>0402</t>
  </si>
  <si>
    <t>天下圖控股有限公司</t>
  </si>
  <si>
    <t>0403</t>
  </si>
  <si>
    <t>星光集團有限公司</t>
  </si>
  <si>
    <t>0404</t>
  </si>
  <si>
    <t>新昌集團控股有限公司</t>
  </si>
  <si>
    <t>0405</t>
  </si>
  <si>
    <t>越秀房地產投資信託基金</t>
  </si>
  <si>
    <t>0406</t>
  </si>
  <si>
    <t>有利集團有限公司</t>
  </si>
  <si>
    <t>0408</t>
  </si>
  <si>
    <t>葉氏化工集團有限公司</t>
  </si>
  <si>
    <t>0410</t>
  </si>
  <si>
    <t>SOHO中國有限公司</t>
  </si>
  <si>
    <t>0411</t>
  </si>
  <si>
    <t>南順(香港)有限公司</t>
  </si>
  <si>
    <t>0412</t>
  </si>
  <si>
    <t>中國新金融集團有限公司</t>
  </si>
  <si>
    <t>0413</t>
  </si>
  <si>
    <t>南華(中國)有限公司</t>
  </si>
  <si>
    <t>0416</t>
  </si>
  <si>
    <t>錦州銀行股份有限公司</t>
  </si>
  <si>
    <t>0417</t>
  </si>
  <si>
    <t>謝瑞麟珠寶(國際)有限公司</t>
  </si>
  <si>
    <t>0418</t>
  </si>
  <si>
    <t>方正控股有限公司</t>
  </si>
  <si>
    <t>0419</t>
  </si>
  <si>
    <t>華誼騰訊娛樂有限公司</t>
  </si>
  <si>
    <t>0420</t>
  </si>
  <si>
    <t>褔田實業(集團)有限公司</t>
  </si>
  <si>
    <t>0422</t>
  </si>
  <si>
    <t>越南製造加工出口(控股)有限公司</t>
  </si>
  <si>
    <t>0423</t>
  </si>
  <si>
    <t>香港經濟日報集團有限公司</t>
  </si>
  <si>
    <t>0425</t>
  </si>
  <si>
    <t>敏實集團有限公司</t>
  </si>
  <si>
    <t>0426</t>
  </si>
  <si>
    <t>萬華媒體集團有限公司</t>
  </si>
  <si>
    <t>0428</t>
  </si>
  <si>
    <t>匯嘉中國控股有限公司</t>
  </si>
  <si>
    <t>0430</t>
  </si>
  <si>
    <t>東方網庫控股有限公司</t>
  </si>
  <si>
    <t>0431</t>
  </si>
  <si>
    <t>大中華金融控股有限公司</t>
  </si>
  <si>
    <t>0432</t>
  </si>
  <si>
    <t>盈科大衍地產發展有限公司</t>
  </si>
  <si>
    <t>0433</t>
  </si>
  <si>
    <t>北方礦業股份有限公司</t>
  </si>
  <si>
    <t>0434</t>
  </si>
  <si>
    <t>博雅互動國際有限公司</t>
  </si>
  <si>
    <t>0435</t>
  </si>
  <si>
    <t>陽光房地產投資信託基金</t>
  </si>
  <si>
    <t>0436</t>
  </si>
  <si>
    <t>新宇環保集團有限公司</t>
  </si>
  <si>
    <t>0438</t>
  </si>
  <si>
    <t>彩虹集團新能源股份有限公司</t>
  </si>
  <si>
    <t>0439</t>
  </si>
  <si>
    <t>光啟科學有限公司</t>
  </si>
  <si>
    <t>0440</t>
  </si>
  <si>
    <t>大新金融集團有限公司</t>
  </si>
  <si>
    <t>0442</t>
  </si>
  <si>
    <t>KTL International Holdings Group Limited</t>
  </si>
  <si>
    <t>0444</t>
  </si>
  <si>
    <t>Sincere Watch (Hong Kong) Limited</t>
  </si>
  <si>
    <t>0445</t>
  </si>
  <si>
    <t>中國消防企業集團有限公司</t>
  </si>
  <si>
    <t>0449</t>
  </si>
  <si>
    <t>志高控股有限公司</t>
  </si>
  <si>
    <t>0450</t>
  </si>
  <si>
    <t>鴻興印刷集團有限公司</t>
  </si>
  <si>
    <t>0451</t>
  </si>
  <si>
    <t>協鑫新能源控股有限公司</t>
  </si>
  <si>
    <t>0455</t>
  </si>
  <si>
    <t>天大藥業有限公司</t>
  </si>
  <si>
    <t>0456</t>
  </si>
  <si>
    <t>新城市建設發展集團有限公司</t>
  </si>
  <si>
    <t>0458</t>
  </si>
  <si>
    <t>Tristate Holdings Limited</t>
  </si>
  <si>
    <t>0459</t>
  </si>
  <si>
    <t>美聯工商舖有限公司</t>
  </si>
  <si>
    <t>0460</t>
  </si>
  <si>
    <t>四環醫藥控股集團有限公司</t>
  </si>
  <si>
    <t>0462</t>
  </si>
  <si>
    <t>天然乳品(新西蘭)控股有限公司</t>
  </si>
  <si>
    <t>0464</t>
  </si>
  <si>
    <t>建福集團控股有限公司</t>
  </si>
  <si>
    <t>0465</t>
  </si>
  <si>
    <t>富通科技發展控股有限公司</t>
  </si>
  <si>
    <t>0467</t>
  </si>
  <si>
    <t>聯合能源集團有限公司</t>
  </si>
  <si>
    <t>0468</t>
  </si>
  <si>
    <t>紛美包裝有限公司</t>
  </si>
  <si>
    <t>0469</t>
  </si>
  <si>
    <t>凱普松國際電子有限公司</t>
  </si>
  <si>
    <t>0471</t>
  </si>
  <si>
    <t>中國移動多媒體廣播控股有限公司</t>
  </si>
  <si>
    <t>0472</t>
  </si>
  <si>
    <t>新絲路文旅有限公司</t>
  </si>
  <si>
    <t>0474</t>
  </si>
  <si>
    <t>昊天發展集團有限公司</t>
  </si>
  <si>
    <t>0475</t>
  </si>
  <si>
    <t>中發展控股有限公司</t>
  </si>
  <si>
    <t>0476</t>
  </si>
  <si>
    <t>中國動力(控股)有限公司</t>
  </si>
  <si>
    <t>0479</t>
  </si>
  <si>
    <t>華建控股有限公司</t>
  </si>
  <si>
    <t>0480</t>
  </si>
  <si>
    <t>香港興業國際集團有限公司</t>
  </si>
  <si>
    <t>0482</t>
  </si>
  <si>
    <t>聖馬丁國際控股有限公司</t>
  </si>
  <si>
    <t>0483</t>
  </si>
  <si>
    <t>包浩斯國際(控股)有限公司</t>
  </si>
  <si>
    <t>0484</t>
  </si>
  <si>
    <t>雲遊控股有限公司</t>
  </si>
  <si>
    <t>0485</t>
  </si>
  <si>
    <t>中國華星集團有限公司</t>
  </si>
  <si>
    <t>0486</t>
  </si>
  <si>
    <t>United Company RUSAL Plc</t>
  </si>
  <si>
    <t>0487</t>
  </si>
  <si>
    <t>實德環球有限公司</t>
  </si>
  <si>
    <t>0488</t>
  </si>
  <si>
    <t>麗新發展有限公司</t>
  </si>
  <si>
    <t>0489</t>
  </si>
  <si>
    <t>東風汽車集團股份有限公司</t>
  </si>
  <si>
    <t>0491</t>
  </si>
  <si>
    <t>英皇文化產業集團有限公司</t>
  </si>
  <si>
    <t>0493</t>
  </si>
  <si>
    <t>國美電器控股有限公司</t>
  </si>
  <si>
    <t>利豐有限公司</t>
  </si>
  <si>
    <t>0495</t>
  </si>
  <si>
    <t>Paladin Limited</t>
  </si>
  <si>
    <t>0496</t>
  </si>
  <si>
    <t>卡森國際控股有限公司</t>
  </si>
  <si>
    <t>0497</t>
  </si>
  <si>
    <t>資本策略地產有限公司</t>
  </si>
  <si>
    <t>0498</t>
  </si>
  <si>
    <t>保華集團有限公司</t>
  </si>
  <si>
    <t>0499</t>
  </si>
  <si>
    <t>青島控股國際有限公司</t>
  </si>
  <si>
    <t>0500</t>
  </si>
  <si>
    <t>先豐服務集團有限公司</t>
  </si>
  <si>
    <t>0503</t>
  </si>
  <si>
    <t>朗生醫藥控股有限公司</t>
  </si>
  <si>
    <t>0505</t>
  </si>
  <si>
    <t>歡悅互娛控股有限公司</t>
  </si>
  <si>
    <t>0506</t>
  </si>
  <si>
    <t>中國食品有限公司</t>
  </si>
  <si>
    <t>0508</t>
  </si>
  <si>
    <t>鼎億集團投資有限公司</t>
  </si>
  <si>
    <t>0509</t>
  </si>
  <si>
    <t>世紀陽光集團控股有限公司</t>
  </si>
  <si>
    <t>0510</t>
  </si>
  <si>
    <t>時富金融服務集團有限公司</t>
  </si>
  <si>
    <t>0511</t>
  </si>
  <si>
    <t>電視廣播有限公司</t>
  </si>
  <si>
    <t>0512</t>
  </si>
  <si>
    <t>遠大醫藥健康控股有限公司</t>
  </si>
  <si>
    <t>0513</t>
  </si>
  <si>
    <t>恒和珠寶集團有限公司</t>
  </si>
  <si>
    <t>0515</t>
  </si>
  <si>
    <t>達進東方照明控股有限公司</t>
  </si>
  <si>
    <t>0517</t>
  </si>
  <si>
    <t>中遠國際控股有限公司</t>
  </si>
  <si>
    <t>0518</t>
  </si>
  <si>
    <t>同得仕(集團)有限公司</t>
  </si>
  <si>
    <t>0519</t>
  </si>
  <si>
    <t>實力建業集團有限公司</t>
  </si>
  <si>
    <t>0520</t>
  </si>
  <si>
    <t>呷哺呷哺餐飲管理(中國)控股有限公司</t>
  </si>
  <si>
    <t>0521</t>
  </si>
  <si>
    <t>海航實業集團股份有限公司</t>
  </si>
  <si>
    <t>0522</t>
  </si>
  <si>
    <t>ASM Pacific Technology Limited</t>
  </si>
  <si>
    <t>0524</t>
  </si>
  <si>
    <t>e-Kong Group Limited</t>
  </si>
  <si>
    <t>0525</t>
  </si>
  <si>
    <t>廣深鐵路股份有限公司</t>
  </si>
  <si>
    <t>0526</t>
  </si>
  <si>
    <t>利時集團(控股)有限公司</t>
  </si>
  <si>
    <t>0527</t>
  </si>
  <si>
    <t>中國瑞風新能源控股有限公司</t>
  </si>
  <si>
    <t>0528</t>
  </si>
  <si>
    <t>金達控股有限公司</t>
  </si>
  <si>
    <t>0529</t>
  </si>
  <si>
    <t>新龍國際集團有限公司</t>
  </si>
  <si>
    <t>0530</t>
  </si>
  <si>
    <t>高銀金融(集團)有限公司</t>
  </si>
  <si>
    <t>0531</t>
  </si>
  <si>
    <t>順誠控股有限公司</t>
  </si>
  <si>
    <t>0532</t>
  </si>
  <si>
    <t>Wong's Kong King International (Holdings) Limited</t>
  </si>
  <si>
    <t>0533</t>
  </si>
  <si>
    <t>金利來集團有限公司</t>
  </si>
  <si>
    <t>0535</t>
  </si>
  <si>
    <t>金地商置集團有限公司</t>
  </si>
  <si>
    <t>0536</t>
  </si>
  <si>
    <t>貿易通電子貿易有限公司</t>
  </si>
  <si>
    <t>0538</t>
  </si>
  <si>
    <t>味千(中國)控股有限公司</t>
  </si>
  <si>
    <t>0539</t>
  </si>
  <si>
    <t>冠華國際控股有限公司</t>
  </si>
  <si>
    <t>0540</t>
  </si>
  <si>
    <t>迅捷環球控股有限公司</t>
  </si>
  <si>
    <t>0542</t>
  </si>
  <si>
    <t>新嶺域(集團)有限公司</t>
  </si>
  <si>
    <t>0543</t>
  </si>
  <si>
    <t>太平洋網絡有限公司</t>
  </si>
  <si>
    <t>0544</t>
  </si>
  <si>
    <t>大同集團有限公司</t>
  </si>
  <si>
    <t>0546</t>
  </si>
  <si>
    <t>阜豐集團有限公司</t>
  </si>
  <si>
    <t>0547</t>
  </si>
  <si>
    <t>數字王國集團有限公司</t>
  </si>
  <si>
    <t>0548</t>
  </si>
  <si>
    <t>深圳高速公路股份有限公司</t>
  </si>
  <si>
    <t>0549</t>
  </si>
  <si>
    <t>吉林奇峰化纖股份有限公司</t>
  </si>
  <si>
    <t>0550</t>
  </si>
  <si>
    <t>先傳媒集團有限公司</t>
  </si>
  <si>
    <t>0551</t>
  </si>
  <si>
    <t>裕元工業(集團)有限公司</t>
  </si>
  <si>
    <t>0552</t>
  </si>
  <si>
    <t>中國通信服務股份有限公司</t>
  </si>
  <si>
    <t>0553</t>
  </si>
  <si>
    <t>南京熊貓電子股份有限公司</t>
  </si>
  <si>
    <t>0554</t>
  </si>
  <si>
    <t>漢思能源有限公司</t>
  </si>
  <si>
    <t>0555</t>
  </si>
  <si>
    <t>御泰中彩控股有限公司</t>
  </si>
  <si>
    <t>0556</t>
  </si>
  <si>
    <t>泛亞環保集團有限公司</t>
  </si>
  <si>
    <t>0557</t>
  </si>
  <si>
    <t>City e-Solutions Limited</t>
  </si>
  <si>
    <t>0558</t>
  </si>
  <si>
    <t>力勁科技集團有限公司</t>
  </si>
  <si>
    <t>0559</t>
  </si>
  <si>
    <t>德泰新能源集團有限公司</t>
  </si>
  <si>
    <t>0560</t>
  </si>
  <si>
    <t>珠江船務企業(股份)有限公司</t>
  </si>
  <si>
    <t>0563</t>
  </si>
  <si>
    <t>上海實業城市開發集團有限公司</t>
  </si>
  <si>
    <t>0564</t>
  </si>
  <si>
    <t>鄭州煤礦機械集團股份有限公司</t>
  </si>
  <si>
    <t>0565</t>
  </si>
  <si>
    <t>錦藝集團控股有限公司</t>
  </si>
  <si>
    <t>0566</t>
  </si>
  <si>
    <t>漢能薄膜發電集團有限公司</t>
  </si>
  <si>
    <t>0567</t>
  </si>
  <si>
    <t>大昌微綫集團有限公司</t>
  </si>
  <si>
    <t>0568</t>
  </si>
  <si>
    <t>山東墨龍石油機械股份有限公司</t>
  </si>
  <si>
    <t>0569</t>
  </si>
  <si>
    <t>中國自動化集團有限公司</t>
  </si>
  <si>
    <t>0570</t>
  </si>
  <si>
    <t>中國中藥控股有限公司</t>
  </si>
  <si>
    <t>0571</t>
  </si>
  <si>
    <t>豐德麗控股有限公司</t>
  </si>
  <si>
    <t>0572</t>
  </si>
  <si>
    <t>未來世界金融控股有限公司</t>
  </si>
  <si>
    <t>0573</t>
  </si>
  <si>
    <t>稻香控股有限公司</t>
  </si>
  <si>
    <t>0574</t>
  </si>
  <si>
    <t>百信國際控股有限公司</t>
  </si>
  <si>
    <t>0575</t>
  </si>
  <si>
    <t>勵晶太平洋集團有限公司</t>
  </si>
  <si>
    <t>0576</t>
  </si>
  <si>
    <t>浙江滬杭甬高速公路股份有限公司</t>
  </si>
  <si>
    <t>0577</t>
  </si>
  <si>
    <t>十三集團有限公司</t>
  </si>
  <si>
    <t>0578</t>
  </si>
  <si>
    <t>融信資源控股有限公司</t>
  </si>
  <si>
    <t>0579</t>
  </si>
  <si>
    <t>北京京能清潔能源電力股份有限公司</t>
  </si>
  <si>
    <t>0580</t>
  </si>
  <si>
    <t>賽晶電力電子集團有限公司</t>
  </si>
  <si>
    <t>0581</t>
  </si>
  <si>
    <t>中國東方集團控股有限公司</t>
  </si>
  <si>
    <t>0582</t>
  </si>
  <si>
    <t>藍鼎國際發展有限公司</t>
  </si>
  <si>
    <t>0583</t>
  </si>
  <si>
    <t>長城環亞控股有限公司</t>
  </si>
  <si>
    <t>0585</t>
  </si>
  <si>
    <t>意馬國際控股有限公司</t>
  </si>
  <si>
    <t>0586</t>
  </si>
  <si>
    <t>中國海螺創業控股有限公司</t>
  </si>
  <si>
    <t>0587</t>
  </si>
  <si>
    <t>華瀚健康產業控股有限公司</t>
  </si>
  <si>
    <t>0588</t>
  </si>
  <si>
    <t>北京北辰實業股份有限公司</t>
  </si>
  <si>
    <t>0589</t>
  </si>
  <si>
    <t>寶國國際控股有限公司</t>
  </si>
  <si>
    <t>0590</t>
  </si>
  <si>
    <t>六福集團(國際)有限公司</t>
  </si>
  <si>
    <t>0591</t>
  </si>
  <si>
    <t>中國高精密自動化集團有限公司</t>
  </si>
  <si>
    <t>0592</t>
  </si>
  <si>
    <t>堡獅龍國際集團有限公司</t>
  </si>
  <si>
    <t>0593</t>
  </si>
  <si>
    <t>夢東方集團有限公司</t>
  </si>
  <si>
    <t>0595</t>
  </si>
  <si>
    <t>先思行集團有限公司</t>
  </si>
  <si>
    <t>0596</t>
  </si>
  <si>
    <t>浪潮國際有限公司</t>
  </si>
  <si>
    <t>0598</t>
  </si>
  <si>
    <t>中國外運股份有限公司</t>
  </si>
  <si>
    <t>0599</t>
  </si>
  <si>
    <t>怡邦行控股有限公司</t>
  </si>
  <si>
    <t>0600</t>
  </si>
  <si>
    <t>中國基建投資有限公司</t>
  </si>
  <si>
    <t>0601</t>
  </si>
  <si>
    <t>權智(國際)有限公司</t>
  </si>
  <si>
    <t>0602</t>
  </si>
  <si>
    <t>佳華百貨控股有限公司</t>
  </si>
  <si>
    <t>0603</t>
  </si>
  <si>
    <t>中油燃氣集團有限公司</t>
  </si>
  <si>
    <t>0604</t>
  </si>
  <si>
    <t>深圳控股有限公司</t>
  </si>
  <si>
    <t>0605</t>
  </si>
  <si>
    <t>中國金融投資管理有限公司</t>
  </si>
  <si>
    <t>0606</t>
  </si>
  <si>
    <t>中國糧油控股有限公司</t>
  </si>
  <si>
    <t>0607</t>
  </si>
  <si>
    <t>豐盛控股有限公司</t>
  </si>
  <si>
    <t>0608</t>
  </si>
  <si>
    <t>達利國際集團有限公司</t>
  </si>
  <si>
    <t>0609</t>
  </si>
  <si>
    <t>天德化工控股有限公司</t>
  </si>
  <si>
    <t>0610</t>
  </si>
  <si>
    <t>惠記集團有限公司</t>
  </si>
  <si>
    <t>0611</t>
  </si>
  <si>
    <t>中國核能科技集團有限公司</t>
  </si>
  <si>
    <t>0612</t>
  </si>
  <si>
    <t>中國投資基金國際控股有限公司</t>
  </si>
  <si>
    <t>0613</t>
  </si>
  <si>
    <t>渝港國際有限公司</t>
  </si>
  <si>
    <t>0616</t>
  </si>
  <si>
    <t>高山企業有限公司</t>
  </si>
  <si>
    <t>0617</t>
  </si>
  <si>
    <t>百利保控股有限公司</t>
  </si>
  <si>
    <t>0618</t>
  </si>
  <si>
    <t>北大資源(控股)有限公司</t>
  </si>
  <si>
    <t>0619</t>
  </si>
  <si>
    <t>南華金融控股有限公司</t>
  </si>
  <si>
    <t>0620</t>
  </si>
  <si>
    <t>大唐西市絲路投資控股有限公司</t>
  </si>
  <si>
    <t>0621</t>
  </si>
  <si>
    <t>壇金礦業有限公司</t>
  </si>
  <si>
    <t>0622</t>
  </si>
  <si>
    <t>威華達控股有限公司</t>
  </si>
  <si>
    <t>0623</t>
  </si>
  <si>
    <t>中視金橋國際傳媒控股有限公司</t>
  </si>
  <si>
    <t>0625</t>
  </si>
  <si>
    <t>睿富中國商業房地產投資信托基金</t>
  </si>
  <si>
    <t>0626</t>
  </si>
  <si>
    <t>大眾金融控股有限公司</t>
  </si>
  <si>
    <t>0627</t>
  </si>
  <si>
    <t>佑威國際控股有限公司</t>
  </si>
  <si>
    <t>0628</t>
  </si>
  <si>
    <t>國美金融科技有限公司</t>
  </si>
  <si>
    <t>0629</t>
  </si>
  <si>
    <t>悅達礦業控股有限公司</t>
  </si>
  <si>
    <t>0630</t>
  </si>
  <si>
    <t>雋泰控股有限公司</t>
  </si>
  <si>
    <t>0631</t>
  </si>
  <si>
    <t>三一重裝國際控股有限公司</t>
  </si>
  <si>
    <t>0632</t>
  </si>
  <si>
    <t>東方明珠石油有限公司</t>
  </si>
  <si>
    <t>0633</t>
  </si>
  <si>
    <t>中國全通(控股)有限公司</t>
  </si>
  <si>
    <t>0635</t>
  </si>
  <si>
    <t>彩星集團有限公司</t>
  </si>
  <si>
    <t>0636</t>
  </si>
  <si>
    <t>嘉里物流聯網有限公司</t>
  </si>
  <si>
    <t>0637</t>
  </si>
  <si>
    <t>利記控股有限公司</t>
  </si>
  <si>
    <t>0638</t>
  </si>
  <si>
    <t>建溢集團有限公司</t>
  </si>
  <si>
    <t>0639</t>
  </si>
  <si>
    <t>首鋼福山資源集團有限公司</t>
  </si>
  <si>
    <t>0640</t>
  </si>
  <si>
    <t>星謙發展控股有限公司</t>
  </si>
  <si>
    <t>0641</t>
  </si>
  <si>
    <t>恒天立信工業有限公司</t>
  </si>
  <si>
    <t>0643</t>
  </si>
  <si>
    <t>恒富控股有限公司</t>
  </si>
  <si>
    <t>0645</t>
  </si>
  <si>
    <t>安域亞洲有限公司</t>
  </si>
  <si>
    <t>0646</t>
  </si>
  <si>
    <t>中國環保科技控股有限公司</t>
  </si>
  <si>
    <t>0647</t>
  </si>
  <si>
    <t>Joyce Boutique Holdings Limited</t>
  </si>
  <si>
    <t>0648</t>
  </si>
  <si>
    <t>中國華仁醫療有限公司</t>
  </si>
  <si>
    <t>0650</t>
  </si>
  <si>
    <t>IDG能源投資集團有限公司</t>
  </si>
  <si>
    <t>0651</t>
  </si>
  <si>
    <t>中海重工集團有限公司</t>
  </si>
  <si>
    <t>0653</t>
  </si>
  <si>
    <t>卓悅控股有限公司</t>
  </si>
  <si>
    <t>0655</t>
  </si>
  <si>
    <t>香港華人有限公司</t>
  </si>
  <si>
    <t>0656</t>
  </si>
  <si>
    <t>復星國際有限公司</t>
  </si>
  <si>
    <t>0657</t>
  </si>
  <si>
    <t>環科國際集團有限公司</t>
  </si>
  <si>
    <t>0658</t>
  </si>
  <si>
    <t>中國高速傳動設備集團有限公司</t>
  </si>
  <si>
    <t>0659</t>
  </si>
  <si>
    <t>新創建集團有限公司</t>
  </si>
  <si>
    <t>0660</t>
  </si>
  <si>
    <t>偉俊礦業集團有限公司</t>
  </si>
  <si>
    <t>0661</t>
  </si>
  <si>
    <t>中國大冶有色金屬礦業有限公司</t>
  </si>
  <si>
    <t>0662</t>
  </si>
  <si>
    <t>亞洲金融集團(控股)有限公司</t>
  </si>
  <si>
    <t>0663</t>
  </si>
  <si>
    <t>金山能源集團有限公司</t>
  </si>
  <si>
    <t>0665</t>
  </si>
  <si>
    <t>海通國際證券集團有限公司</t>
  </si>
  <si>
    <t>0666</t>
  </si>
  <si>
    <t>新工投資有限公司</t>
  </si>
  <si>
    <t>0668</t>
  </si>
  <si>
    <t>東銀國際控股有限公司</t>
  </si>
  <si>
    <t>0669</t>
  </si>
  <si>
    <t>創科實業有限公司</t>
  </si>
  <si>
    <t>0670</t>
  </si>
  <si>
    <t>中國東方航空股份有限公司</t>
  </si>
  <si>
    <t>0672</t>
  </si>
  <si>
    <t>眾安房產有限公司</t>
  </si>
  <si>
    <t>0673</t>
  </si>
  <si>
    <t>中國衛生集團有限公司</t>
  </si>
  <si>
    <t>0674</t>
  </si>
  <si>
    <t>中國唐商控股有限公司</t>
  </si>
  <si>
    <t>0675</t>
  </si>
  <si>
    <t>堅寶國際控股有限公司</t>
  </si>
  <si>
    <t>0676</t>
  </si>
  <si>
    <t>創信國際控股有限公司</t>
  </si>
  <si>
    <t>0677</t>
  </si>
  <si>
    <t>金源米業國際有限公司</t>
  </si>
  <si>
    <t>0678</t>
  </si>
  <si>
    <t>雲頂香港有限公司</t>
  </si>
  <si>
    <t>0679</t>
  </si>
  <si>
    <t>亞洲聯網科技有限公司</t>
  </si>
  <si>
    <t>0680</t>
  </si>
  <si>
    <t>南海控股有限公司</t>
  </si>
  <si>
    <t>0681</t>
  </si>
  <si>
    <t>中民控股有限公司</t>
  </si>
  <si>
    <t>0682</t>
  </si>
  <si>
    <t>超大現代農業(控股)有限公司</t>
  </si>
  <si>
    <t>0683</t>
  </si>
  <si>
    <t>嘉里建設有限公司</t>
  </si>
  <si>
    <t>0684</t>
  </si>
  <si>
    <t>亞倫國際集團有限公司</t>
  </si>
  <si>
    <t>0685</t>
  </si>
  <si>
    <t>世界華文媒體有限公司</t>
  </si>
  <si>
    <t>0686</t>
  </si>
  <si>
    <t>熊貓綠色能源集團有限公司</t>
  </si>
  <si>
    <t>0687</t>
  </si>
  <si>
    <t>香港國際建設投資管理集團有限公司</t>
  </si>
  <si>
    <t>0688</t>
  </si>
  <si>
    <t>中國海外發展有限公司</t>
  </si>
  <si>
    <t>0689</t>
  </si>
  <si>
    <t>長盈集團(控股)有限公司</t>
  </si>
  <si>
    <t>0690</t>
  </si>
  <si>
    <t>聯康生物科技集團有限公司</t>
  </si>
  <si>
    <t>0691</t>
  </si>
  <si>
    <t>中國山水水泥集團有限公司</t>
  </si>
  <si>
    <t>0692</t>
  </si>
  <si>
    <t>中國家居控股有限公司</t>
  </si>
  <si>
    <t>0693</t>
  </si>
  <si>
    <t>陳唱國際有限公司</t>
  </si>
  <si>
    <t>0694</t>
  </si>
  <si>
    <t>北京首都國際機場股份有限公司</t>
  </si>
  <si>
    <t>0695</t>
  </si>
  <si>
    <t>東吳水泥國際有限公司</t>
  </si>
  <si>
    <t>0696</t>
  </si>
  <si>
    <t>中國民航信息網絡股份有限公司</t>
  </si>
  <si>
    <t>0697</t>
  </si>
  <si>
    <t>首長國際企業有限公司</t>
  </si>
  <si>
    <t>0698</t>
  </si>
  <si>
    <t>通達集團控股有限公司</t>
  </si>
  <si>
    <t>0699</t>
  </si>
  <si>
    <t>神州租車有限公司</t>
  </si>
  <si>
    <t>0700</t>
  </si>
  <si>
    <t>騰訊控股有限公司</t>
  </si>
  <si>
    <t>0701</t>
  </si>
  <si>
    <t>北海集團有限公司</t>
  </si>
  <si>
    <t>0702</t>
  </si>
  <si>
    <t>中國油氣控股有限公司</t>
  </si>
  <si>
    <t>0703</t>
  </si>
  <si>
    <t>佳景集團有限公司</t>
  </si>
  <si>
    <t>0704</t>
  </si>
  <si>
    <t>和嘉資源控股有限公司</t>
  </si>
  <si>
    <t>0705</t>
  </si>
  <si>
    <t>鼎和礦業控股有限公司</t>
  </si>
  <si>
    <t>0706</t>
  </si>
  <si>
    <t>美麗中國控股有限公司</t>
  </si>
  <si>
    <t>0707</t>
  </si>
  <si>
    <t>協盛協豐控股有限公司</t>
  </si>
  <si>
    <t>0708</t>
  </si>
  <si>
    <t>恒大健康產業集團有限公司</t>
  </si>
  <si>
    <t>0709</t>
  </si>
  <si>
    <t>佐丹奴國際有限公司</t>
  </si>
  <si>
    <t>0710</t>
  </si>
  <si>
    <t>京東方精電有限公司</t>
  </si>
  <si>
    <t>0711</t>
  </si>
  <si>
    <t>亞洲聯合基建控股有限公司</t>
  </si>
  <si>
    <t>0712</t>
  </si>
  <si>
    <t>卡姆丹克太陽能系統集團有限公司</t>
  </si>
  <si>
    <t>0713</t>
  </si>
  <si>
    <t>世界(集團)有限公司</t>
  </si>
  <si>
    <t>0715</t>
  </si>
  <si>
    <t>中泛控股有限公司</t>
  </si>
  <si>
    <t>0716</t>
  </si>
  <si>
    <t>勝獅貨櫃企業有限公司</t>
  </si>
  <si>
    <t>0717</t>
  </si>
  <si>
    <t>英皇證券集團有限公司</t>
  </si>
  <si>
    <t>0718</t>
  </si>
  <si>
    <t>太和控股有限公司</t>
  </si>
  <si>
    <t>0719</t>
  </si>
  <si>
    <t>山東新華製藥股份有限公司</t>
  </si>
  <si>
    <t>0720</t>
  </si>
  <si>
    <t>意達利控股有限公司</t>
  </si>
  <si>
    <t>0721</t>
  </si>
  <si>
    <t>中國金融國際投資有限公司</t>
  </si>
  <si>
    <t>0722</t>
  </si>
  <si>
    <t>聯合醫務集團有限公司</t>
  </si>
  <si>
    <t>0723</t>
  </si>
  <si>
    <t>永保林業控股有限公司</t>
  </si>
  <si>
    <t>0724</t>
  </si>
  <si>
    <t>瑞鑫國際集團有限公司</t>
  </si>
  <si>
    <t>0725</t>
  </si>
  <si>
    <t>恒都集團有限公司</t>
  </si>
  <si>
    <t>0726</t>
  </si>
  <si>
    <t>中民築友科技集團有限公司</t>
  </si>
  <si>
    <t>0727</t>
  </si>
  <si>
    <t>皇冠環球集團有限公司</t>
  </si>
  <si>
    <t>0728</t>
  </si>
  <si>
    <t>中國電信股份有限公司</t>
  </si>
  <si>
    <t>0729</t>
  </si>
  <si>
    <t>五龍電動車(集團)有限公司</t>
  </si>
  <si>
    <t>0730</t>
  </si>
  <si>
    <t>首長四方(集團)有限公司</t>
  </si>
  <si>
    <t>0731</t>
  </si>
  <si>
    <t>森信紙業集團有限公司</t>
  </si>
  <si>
    <t>0732</t>
  </si>
  <si>
    <t>信利國際有限公司</t>
  </si>
  <si>
    <t>0733</t>
  </si>
  <si>
    <t>合富輝煌集團控股有限公司</t>
  </si>
  <si>
    <t>0735</t>
  </si>
  <si>
    <t>中國電力清潔能源發展有限公司</t>
  </si>
  <si>
    <t>0736</t>
  </si>
  <si>
    <t>中國置業投資控股有限公司</t>
  </si>
  <si>
    <t>0737</t>
  </si>
  <si>
    <t>合和公路基建有限公司</t>
  </si>
  <si>
    <t>0738</t>
  </si>
  <si>
    <t>萊爾斯丹控股有限公司</t>
  </si>
  <si>
    <t>0743</t>
  </si>
  <si>
    <t>亞洲水泥(中國)控股公司</t>
  </si>
  <si>
    <t>0745</t>
  </si>
  <si>
    <t>中國國家文化產業集團有限公司</t>
  </si>
  <si>
    <t>0746</t>
  </si>
  <si>
    <t>理文化工有限公司</t>
  </si>
  <si>
    <t>0747</t>
  </si>
  <si>
    <t>瀋陽公用發展股份有限公司</t>
  </si>
  <si>
    <t>0750</t>
  </si>
  <si>
    <t>中國興業太陽能技術控股有限公司</t>
  </si>
  <si>
    <t>0751</t>
  </si>
  <si>
    <t>創維數碼控股有限公司</t>
  </si>
  <si>
    <t>0752</t>
  </si>
  <si>
    <t>筆克遠東集團有限公司</t>
  </si>
  <si>
    <t>0753</t>
  </si>
  <si>
    <t>中國國際航空股份有限公司</t>
  </si>
  <si>
    <t>0754</t>
  </si>
  <si>
    <t>合生創展集團有限公司</t>
  </si>
  <si>
    <t>0755</t>
  </si>
  <si>
    <t>上海証大房地產有限公司</t>
  </si>
  <si>
    <t>0756</t>
  </si>
  <si>
    <t>天溢（森美）控股有限公司</t>
  </si>
  <si>
    <t>0757</t>
  </si>
  <si>
    <t>陽光能源控股有限公司</t>
  </si>
  <si>
    <t>0758</t>
  </si>
  <si>
    <t>莊勝百貨集團有限公司</t>
  </si>
  <si>
    <t>0759</t>
  </si>
  <si>
    <t>CEC 國際控股有限公司</t>
  </si>
  <si>
    <t>0760</t>
  </si>
  <si>
    <t>新天地產集團有限公司</t>
  </si>
  <si>
    <t>0761</t>
  </si>
  <si>
    <t>百營環球資源控股有限公司</t>
  </si>
  <si>
    <t>0762</t>
  </si>
  <si>
    <t>中國聯合網絡通信(香港)股份有限公司</t>
  </si>
  <si>
    <t>0763</t>
  </si>
  <si>
    <t>中興通訊股份有限公司</t>
  </si>
  <si>
    <t>0764</t>
  </si>
  <si>
    <t>永恒策略投資有限公司</t>
  </si>
  <si>
    <t>0765</t>
  </si>
  <si>
    <t>威發國際集團有限公司</t>
  </si>
  <si>
    <t>0766</t>
  </si>
  <si>
    <t>中盈(集團)控股有限公司</t>
  </si>
  <si>
    <t>0767</t>
  </si>
  <si>
    <t>太平洋實業控股有限公司</t>
  </si>
  <si>
    <t>0768</t>
  </si>
  <si>
    <t>開明投資有限公司</t>
  </si>
  <si>
    <t>0769</t>
  </si>
  <si>
    <t>中國稀土控股有限公司</t>
  </si>
  <si>
    <t>0770</t>
  </si>
  <si>
    <t>滬光國際上海發展投資有限公司</t>
  </si>
  <si>
    <t>0771</t>
  </si>
  <si>
    <t>自動系統集團有限公司</t>
  </si>
  <si>
    <t>0775</t>
  </si>
  <si>
    <t>長江生命科技集團有限公司</t>
  </si>
  <si>
    <t>0776</t>
  </si>
  <si>
    <t>帝國集團環球控股有限公司</t>
  </si>
  <si>
    <t>0777</t>
  </si>
  <si>
    <t>網龍網絡控股有限公司</t>
  </si>
  <si>
    <t>0778</t>
  </si>
  <si>
    <t>置富產業信託</t>
  </si>
  <si>
    <t>0787</t>
  </si>
  <si>
    <t>利標品牌有限公司</t>
  </si>
  <si>
    <t>0789</t>
  </si>
  <si>
    <t>領視控股有限公司</t>
  </si>
  <si>
    <t>0794</t>
  </si>
  <si>
    <t>錦勝集團(控股)有限公司</t>
  </si>
  <si>
    <t>0798</t>
  </si>
  <si>
    <t>中電光谷聯合控股有限公司</t>
  </si>
  <si>
    <t>0799</t>
  </si>
  <si>
    <t>IGG Inc</t>
  </si>
  <si>
    <t>0800</t>
  </si>
  <si>
    <t>A8新媒體集團有限公司</t>
  </si>
  <si>
    <t>0801</t>
  </si>
  <si>
    <t>金衛醫療集團有限公司</t>
  </si>
  <si>
    <t>0802</t>
  </si>
  <si>
    <t>中國錢包支付集團有限公司</t>
  </si>
  <si>
    <t>0803</t>
  </si>
  <si>
    <t>昌興國際控股(香港)有限公司</t>
  </si>
  <si>
    <t>0804</t>
  </si>
  <si>
    <t>鼎石資本有限公司</t>
  </si>
  <si>
    <t>0805</t>
  </si>
  <si>
    <t>Glencore plc</t>
  </si>
  <si>
    <t>0806</t>
  </si>
  <si>
    <t>惠理集團有限公司</t>
  </si>
  <si>
    <t>0808</t>
  </si>
  <si>
    <t>泓富產業信託</t>
  </si>
  <si>
    <t>0809</t>
  </si>
  <si>
    <t>大成生化科技集團有限公司</t>
  </si>
  <si>
    <t>0810</t>
  </si>
  <si>
    <t>中國互聯網投資金融集團有限公司</t>
  </si>
  <si>
    <t>0811</t>
  </si>
  <si>
    <t>新華文軒出版傳媒股份有限公司</t>
  </si>
  <si>
    <t>0812</t>
  </si>
  <si>
    <t>西證國際證券股份有限公司</t>
  </si>
  <si>
    <t>0813</t>
  </si>
  <si>
    <t>世茂房地產控股有限公司</t>
  </si>
  <si>
    <t>0814</t>
  </si>
  <si>
    <t>北京京客隆商業集團股份有限公司</t>
  </si>
  <si>
    <t>0815</t>
  </si>
  <si>
    <t>中國白銀集團有限公司</t>
  </si>
  <si>
    <t>0816</t>
  </si>
  <si>
    <t>華電福新能源股份有限公司</t>
  </si>
  <si>
    <t>0817</t>
  </si>
  <si>
    <t>中國金茂控股集團有限公司</t>
  </si>
  <si>
    <t>0818</t>
  </si>
  <si>
    <t>高陽科技(中國)有限公司</t>
  </si>
  <si>
    <t>0819</t>
  </si>
  <si>
    <t>天能動力國際有限公司</t>
  </si>
  <si>
    <t>0820</t>
  </si>
  <si>
    <t>匯豐中國翔龍基金</t>
  </si>
  <si>
    <t>0821</t>
  </si>
  <si>
    <t>滙盈控股有限公司</t>
  </si>
  <si>
    <t>0822</t>
  </si>
  <si>
    <t>嘉瑞國際控股有限公司</t>
  </si>
  <si>
    <t>0823</t>
  </si>
  <si>
    <t>領展房地產投資信託基金</t>
  </si>
  <si>
    <t>0825</t>
  </si>
  <si>
    <t>新世界百貨中國有限公司</t>
  </si>
  <si>
    <t>0826</t>
  </si>
  <si>
    <t>天工國際有限公司</t>
  </si>
  <si>
    <t>0827</t>
  </si>
  <si>
    <t>玖源化工(集團)有限公司</t>
  </si>
  <si>
    <t>0828</t>
  </si>
  <si>
    <t>王朝酒業集團有限公司</t>
  </si>
  <si>
    <t>0829</t>
  </si>
  <si>
    <t>神冠控股(集團)有限公司</t>
  </si>
  <si>
    <t>0830</t>
  </si>
  <si>
    <t>遠東環球集團有限公司</t>
  </si>
  <si>
    <t>0831</t>
  </si>
  <si>
    <t>利亞零售有限公司</t>
  </si>
  <si>
    <t>0832</t>
  </si>
  <si>
    <t>建業地產股份有限公司</t>
  </si>
  <si>
    <t>0833</t>
  </si>
  <si>
    <t>華訊股份有限公司</t>
  </si>
  <si>
    <t>0834</t>
  </si>
  <si>
    <t>中國康大食品有限公司</t>
  </si>
  <si>
    <t>0835</t>
  </si>
  <si>
    <t>亞洲煤業有限公司</t>
  </si>
  <si>
    <t>0836</t>
  </si>
  <si>
    <t>華潤電力控股有限公司</t>
  </si>
  <si>
    <t>0837</t>
  </si>
  <si>
    <t>譚木匠控股有限公司</t>
  </si>
  <si>
    <t>0838</t>
  </si>
  <si>
    <t>億和精密工業控股有限公司</t>
  </si>
  <si>
    <t>0840</t>
  </si>
  <si>
    <t>新疆天業節水灌溉股份有限公司</t>
  </si>
  <si>
    <t>0841</t>
  </si>
  <si>
    <t>亞洲木薯資源控股有限公司</t>
  </si>
  <si>
    <t>0842</t>
  </si>
  <si>
    <t>理士國際技術有限公司</t>
  </si>
  <si>
    <t>0844</t>
  </si>
  <si>
    <t>廣泰國際控股有限公司</t>
  </si>
  <si>
    <t>0845</t>
  </si>
  <si>
    <t>恒盛地產控股有限公司</t>
  </si>
  <si>
    <t>0846</t>
  </si>
  <si>
    <t>明發集團(國際)有限公司</t>
  </si>
  <si>
    <t>0847</t>
  </si>
  <si>
    <t>哈薩克礦業有限公司</t>
  </si>
  <si>
    <t>0848</t>
  </si>
  <si>
    <t>茂業國際控股有限公司</t>
  </si>
  <si>
    <t>0850</t>
  </si>
  <si>
    <t>投融長富集團有限公司</t>
  </si>
  <si>
    <t>0851</t>
  </si>
  <si>
    <t>盛源控股有限公司</t>
  </si>
  <si>
    <t>0852</t>
  </si>
  <si>
    <t>海峽石油化工控股有限公司</t>
  </si>
  <si>
    <t>0853</t>
  </si>
  <si>
    <t>微創醫療科學有限公司</t>
  </si>
  <si>
    <t>0854</t>
  </si>
  <si>
    <t>威雅利電子(集團)有限公司</t>
  </si>
  <si>
    <t>0855</t>
  </si>
  <si>
    <t>中國水務集團有限公司</t>
  </si>
  <si>
    <t>0856</t>
  </si>
  <si>
    <t>偉仕佳杰控股有限公司</t>
  </si>
  <si>
    <t>0857</t>
  </si>
  <si>
    <t>中國石油天然氣股份有限公司</t>
  </si>
  <si>
    <t>0858</t>
  </si>
  <si>
    <t>精優藥業控股有限公司</t>
  </si>
  <si>
    <t>0859</t>
  </si>
  <si>
    <t>鎮科集團控股有限公司</t>
  </si>
  <si>
    <t>0860</t>
  </si>
  <si>
    <t>奧立仕控股有限公司</t>
  </si>
  <si>
    <t>0861</t>
  </si>
  <si>
    <t>神州數碼控股有限公司</t>
  </si>
  <si>
    <t>0862</t>
  </si>
  <si>
    <t>遠見控股有限公司</t>
  </si>
  <si>
    <t>0863</t>
  </si>
  <si>
    <t>品牌中國集團有限公司</t>
  </si>
  <si>
    <t>0864</t>
  </si>
  <si>
    <t>永利地產發展有限公司</t>
  </si>
  <si>
    <t>0865</t>
  </si>
  <si>
    <t>建德國際控股有限公司</t>
  </si>
  <si>
    <t>0866</t>
  </si>
  <si>
    <t>中國秦發集團有限公司</t>
  </si>
  <si>
    <t>0867</t>
  </si>
  <si>
    <t>康哲藥業控股有限公司</t>
  </si>
  <si>
    <t>0868</t>
  </si>
  <si>
    <t>信義玻璃控股有限公司</t>
  </si>
  <si>
    <t>0869</t>
  </si>
  <si>
    <t>彩星玩具有限公司</t>
  </si>
  <si>
    <t>0871</t>
  </si>
  <si>
    <t>中國疏浚環保控股有限公司</t>
  </si>
  <si>
    <t>0872</t>
  </si>
  <si>
    <t>啟迪國際有限公司</t>
  </si>
  <si>
    <t>0873</t>
  </si>
  <si>
    <t>中國泰豐床品控股有限公司</t>
  </si>
  <si>
    <t>0874</t>
  </si>
  <si>
    <t>廣州白雲山醫藥集團股份有限公司</t>
  </si>
  <si>
    <t>0875</t>
  </si>
  <si>
    <t>中國金控投資集團有限公司</t>
  </si>
  <si>
    <t>0876</t>
  </si>
  <si>
    <t>美加醫學科技有限公司</t>
  </si>
  <si>
    <t>0877</t>
  </si>
  <si>
    <t>昂納科技(集團)有限公司</t>
  </si>
  <si>
    <t>0878</t>
  </si>
  <si>
    <t>金朝陽集團有限公司</t>
  </si>
  <si>
    <t>澳門博彩控股有限公司</t>
  </si>
  <si>
    <t>0881</t>
  </si>
  <si>
    <t>中升集團控股有限公司</t>
  </si>
  <si>
    <t>0882</t>
  </si>
  <si>
    <t>天津發展控股有限公司</t>
  </si>
  <si>
    <t>0883</t>
  </si>
  <si>
    <t>中國海洋石油有限公司</t>
  </si>
  <si>
    <t>0884</t>
  </si>
  <si>
    <t>旭輝控股(集團)有限公司</t>
  </si>
  <si>
    <t>0885</t>
  </si>
  <si>
    <t>仁天科技控股有限公司</t>
  </si>
  <si>
    <t>0886</t>
  </si>
  <si>
    <t>銀基集團控股有限公司</t>
  </si>
  <si>
    <t>0887</t>
  </si>
  <si>
    <t>英皇鐘錶珠寶有限公司</t>
  </si>
  <si>
    <t>0888</t>
  </si>
  <si>
    <t>路訊通控股有限公司</t>
  </si>
  <si>
    <t>0889</t>
  </si>
  <si>
    <t>連達科技控股有限公司</t>
  </si>
  <si>
    <t>0891</t>
  </si>
  <si>
    <t>利邦控股有限公司</t>
  </si>
  <si>
    <t>0893</t>
  </si>
  <si>
    <t>中國釩鈦磁鐵礦業有限公司</t>
  </si>
  <si>
    <t>0894</t>
  </si>
  <si>
    <t>萬裕科技集團有限公司</t>
  </si>
  <si>
    <t>0895</t>
  </si>
  <si>
    <t>東江環保股份有限公司</t>
  </si>
  <si>
    <t>0896</t>
  </si>
  <si>
    <t>興勝創建控股有限公司</t>
  </si>
  <si>
    <t>0897</t>
  </si>
  <si>
    <t>位元堂藥業控股有限公司</t>
  </si>
  <si>
    <t>0898</t>
  </si>
  <si>
    <t>萬事昌國際控股有限公司</t>
  </si>
  <si>
    <t>0899</t>
  </si>
  <si>
    <t>亞洲資源控股有限公司</t>
  </si>
  <si>
    <t>0900</t>
  </si>
  <si>
    <t>AEON信貸財務(亞洲)有限公司</t>
  </si>
  <si>
    <t>0901</t>
  </si>
  <si>
    <t>鷹力投資控股有限公司</t>
  </si>
  <si>
    <t>0902</t>
  </si>
  <si>
    <t>華能國際電力股份有限公司</t>
  </si>
  <si>
    <t>0903</t>
  </si>
  <si>
    <t>冠捷科技有限公司</t>
  </si>
  <si>
    <t>0904</t>
  </si>
  <si>
    <t>中國綠色食品(控股)有限公司</t>
  </si>
  <si>
    <t>0905</t>
  </si>
  <si>
    <t>環球大通投資有限公司</t>
  </si>
  <si>
    <t>0906</t>
  </si>
  <si>
    <t>中糧包裝控股有限公司</t>
  </si>
  <si>
    <t>0907</t>
  </si>
  <si>
    <t>高雅光學國際集團有限公司</t>
  </si>
  <si>
    <t>0908</t>
  </si>
  <si>
    <t>珠海控股投資集團有限公司</t>
  </si>
  <si>
    <t>0909</t>
  </si>
  <si>
    <t>中大國際控股有限公司</t>
  </si>
  <si>
    <t>0910</t>
  </si>
  <si>
    <t>中國三迪控股有限公司</t>
  </si>
  <si>
    <t>0911</t>
  </si>
  <si>
    <t>前海健康控股有限公司</t>
  </si>
  <si>
    <t>0912</t>
  </si>
  <si>
    <t>信佳國際集團有限公司</t>
  </si>
  <si>
    <t>0913</t>
  </si>
  <si>
    <t>合一投資控股有限公司</t>
  </si>
  <si>
    <t>0914</t>
  </si>
  <si>
    <t>安徽海螺水泥股份有限公司</t>
  </si>
  <si>
    <t>0915</t>
  </si>
  <si>
    <t>道和環球集團有限公司</t>
  </si>
  <si>
    <t>0916</t>
  </si>
  <si>
    <t>龍源電力集團股份有限公司</t>
  </si>
  <si>
    <t>0918</t>
  </si>
  <si>
    <t>國能集團國際資產控股有限公司</t>
  </si>
  <si>
    <t>0919</t>
  </si>
  <si>
    <t>現代美容控股有限公司</t>
  </si>
  <si>
    <t>0921</t>
  </si>
  <si>
    <t>海信科龍電器股份有限公司</t>
  </si>
  <si>
    <t>0922</t>
  </si>
  <si>
    <t>安賢園中國控股有限公司</t>
  </si>
  <si>
    <t>0923</t>
  </si>
  <si>
    <t>綜合環保集團有限公司</t>
  </si>
  <si>
    <t>0925</t>
  </si>
  <si>
    <t>北京建設(控股)有限公司</t>
  </si>
  <si>
    <t>0926</t>
  </si>
  <si>
    <t>碧生源控股有限公司</t>
  </si>
  <si>
    <t>0927</t>
  </si>
  <si>
    <t>富士高實業控股有限公司</t>
  </si>
  <si>
    <t>0928</t>
  </si>
  <si>
    <t>蓮和醫療健康集團有限公司</t>
  </si>
  <si>
    <t>0929</t>
  </si>
  <si>
    <t>國際精密集團有限公司</t>
  </si>
  <si>
    <t>0931</t>
  </si>
  <si>
    <t>中國天然氣集團有限公司</t>
  </si>
  <si>
    <t>0932</t>
  </si>
  <si>
    <t>御藥堂集團控股有限公司</t>
  </si>
  <si>
    <t>0933</t>
  </si>
  <si>
    <t>光滙石油(控股)有限公司</t>
  </si>
  <si>
    <t>0934</t>
  </si>
  <si>
    <t>中石化冠德控股有限公司</t>
  </si>
  <si>
    <t>0935</t>
  </si>
  <si>
    <t>龍翔集團控股有限公司</t>
  </si>
  <si>
    <t>0936</t>
  </si>
  <si>
    <t>鵬程亞洲有限公司</t>
  </si>
  <si>
    <t>0938</t>
  </si>
  <si>
    <t>民生國際有限公司</t>
  </si>
  <si>
    <t>0939</t>
  </si>
  <si>
    <t>中國建設銀行股份有限公司</t>
  </si>
  <si>
    <t>0940</t>
  </si>
  <si>
    <t>中國動物保健品有限公司</t>
  </si>
  <si>
    <t>0941</t>
  </si>
  <si>
    <t>中國移動有限公司</t>
  </si>
  <si>
    <t>0943</t>
  </si>
  <si>
    <t>意科控股有限公司</t>
  </si>
  <si>
    <t>0945</t>
  </si>
  <si>
    <t>宏利金融有限公司</t>
  </si>
  <si>
    <t>0947</t>
  </si>
  <si>
    <t>摩比發展有限公司</t>
  </si>
  <si>
    <t>0948</t>
  </si>
  <si>
    <t>融達控股有限公司</t>
  </si>
  <si>
    <t>0950</t>
  </si>
  <si>
    <t>李氏大藥廠控股有限公司</t>
  </si>
  <si>
    <t>0951</t>
  </si>
  <si>
    <t>超威動力控股有限公司</t>
  </si>
  <si>
    <t>0952</t>
  </si>
  <si>
    <t>華富國際控股有限公司</t>
  </si>
  <si>
    <t>0953</t>
  </si>
  <si>
    <t>邵氏兄弟控股有限公司</t>
  </si>
  <si>
    <t>0954</t>
  </si>
  <si>
    <t>常茂生物化學工程股份有限公司</t>
  </si>
  <si>
    <t>新天綠色能源股份有限公司</t>
  </si>
  <si>
    <t>0958</t>
  </si>
  <si>
    <t>華能新能源股份有限公司</t>
  </si>
  <si>
    <t>0959</t>
  </si>
  <si>
    <t>奧瑪仕國際控股有限公司</t>
  </si>
  <si>
    <t>0960</t>
  </si>
  <si>
    <t>龍湖地產有限公司</t>
  </si>
  <si>
    <t>0963</t>
  </si>
  <si>
    <t>華熙生物科技有限公司</t>
  </si>
  <si>
    <t>0966</t>
  </si>
  <si>
    <t>中國太平保險控股有限公司</t>
  </si>
  <si>
    <t>0967</t>
  </si>
  <si>
    <t>桑德國際有限公司</t>
  </si>
  <si>
    <t>0968</t>
  </si>
  <si>
    <t>信義光能控股有限公司</t>
  </si>
  <si>
    <t>0969</t>
  </si>
  <si>
    <t>華聯國際(控股)有限公司</t>
  </si>
  <si>
    <t>0970</t>
  </si>
  <si>
    <t>耀萊集團有限公司</t>
  </si>
  <si>
    <t>0973</t>
  </si>
  <si>
    <t>L'Occitane International S. A.</t>
  </si>
  <si>
    <t>0974</t>
  </si>
  <si>
    <t>中國順客隆控股有限公司</t>
  </si>
  <si>
    <t>0975</t>
  </si>
  <si>
    <t>Mongolian Mining Corporation</t>
  </si>
  <si>
    <t>0976</t>
  </si>
  <si>
    <t>齊合環保集團有限公司</t>
  </si>
  <si>
    <t>0978</t>
  </si>
  <si>
    <t>招商局置地有限公司</t>
  </si>
  <si>
    <t>0979</t>
  </si>
  <si>
    <t>綠色能源科技集團有限公司</t>
  </si>
  <si>
    <t>0980</t>
  </si>
  <si>
    <t>聯華超市股份有限公司</t>
  </si>
  <si>
    <t>0981</t>
  </si>
  <si>
    <t>中芯國際集成電路製造有限公司</t>
  </si>
  <si>
    <t>0982</t>
  </si>
  <si>
    <t>卓智控股有限公司</t>
  </si>
  <si>
    <t>0983</t>
  </si>
  <si>
    <t>瑞安建業有限公司</t>
  </si>
  <si>
    <t>0984</t>
  </si>
  <si>
    <t>永旺(香港)百貨有限公司</t>
  </si>
  <si>
    <t>0985</t>
  </si>
  <si>
    <t>網智金控集團有限公司</t>
  </si>
  <si>
    <t>0986</t>
  </si>
  <si>
    <t>中國環保能源投資有限公司</t>
  </si>
  <si>
    <t>0987</t>
  </si>
  <si>
    <t>中國再生能源投資有限公司</t>
  </si>
  <si>
    <t>0988</t>
  </si>
  <si>
    <t>樓東俊安資源(中國)控股有限公司</t>
  </si>
  <si>
    <t>0989</t>
  </si>
  <si>
    <t>廣澤國際發展有限公司</t>
  </si>
  <si>
    <t>0990</t>
  </si>
  <si>
    <t>榮暉國際集團有限公司</t>
  </si>
  <si>
    <t>0991</t>
  </si>
  <si>
    <t>大唐國際發電股份有限公司</t>
  </si>
  <si>
    <t>0992</t>
  </si>
  <si>
    <t>聯想集團有限公司</t>
  </si>
  <si>
    <t>0993</t>
  </si>
  <si>
    <t>華融國際金融控股有限公司</t>
  </si>
  <si>
    <t>0994</t>
  </si>
  <si>
    <t>恆誠建築控股有限公司</t>
  </si>
  <si>
    <t>0995</t>
  </si>
  <si>
    <t>安徽皖通高速公路股份有限公司</t>
  </si>
  <si>
    <t>0996</t>
  </si>
  <si>
    <t>嘉年華國際控股有限公司</t>
  </si>
  <si>
    <t>0997</t>
  </si>
  <si>
    <t>普匯中金國際控股有限公司</t>
  </si>
  <si>
    <t>0998</t>
  </si>
  <si>
    <t>中信銀行股份有限公司</t>
  </si>
  <si>
    <t>0999</t>
  </si>
  <si>
    <t>I.T Limited</t>
  </si>
  <si>
    <t>1000</t>
  </si>
  <si>
    <t>北青傳媒股份有限公司</t>
  </si>
  <si>
    <t>1001</t>
  </si>
  <si>
    <t>滬港聯合控股有限公司</t>
  </si>
  <si>
    <t>1002</t>
  </si>
  <si>
    <t>威鋮國際集團有限公司</t>
  </si>
  <si>
    <t>1003</t>
  </si>
  <si>
    <t>歡喜傳媒集團有限公司</t>
  </si>
  <si>
    <t>1004</t>
  </si>
  <si>
    <t>中國智慧能源集團控股有限公司</t>
  </si>
  <si>
    <t>1005</t>
  </si>
  <si>
    <t>美力時集團有限公司</t>
  </si>
  <si>
    <t>1006</t>
  </si>
  <si>
    <t>長壽花食品股份有限公司</t>
  </si>
  <si>
    <t>1007</t>
  </si>
  <si>
    <t>大慶乳業控股有限公司</t>
  </si>
  <si>
    <t>1008</t>
  </si>
  <si>
    <t>貴聯控股國際有限公司</t>
  </si>
  <si>
    <t>1009</t>
  </si>
  <si>
    <t>國際娛樂有限公司</t>
  </si>
  <si>
    <t>1010</t>
  </si>
  <si>
    <t>太睿國際控股有限公司</t>
  </si>
  <si>
    <t>1011</t>
  </si>
  <si>
    <t>中國泰凌醫藥集團有限公司</t>
  </si>
  <si>
    <t>1013</t>
  </si>
  <si>
    <t>偉俊集團控股有限公司</t>
  </si>
  <si>
    <t>1019</t>
  </si>
  <si>
    <t>康宏環球控股有限公司</t>
  </si>
  <si>
    <t>1020</t>
  </si>
  <si>
    <t>賽伯樂國際控股有限公司</t>
  </si>
  <si>
    <t>1021</t>
  </si>
  <si>
    <t>麥達斯控股有限公司</t>
  </si>
  <si>
    <t>1022</t>
  </si>
  <si>
    <t>飛魚科技國際有限公司</t>
  </si>
  <si>
    <t>時代集團控股有限公司</t>
  </si>
  <si>
    <t>1026</t>
  </si>
  <si>
    <t>環球實業科技控股有限公司</t>
  </si>
  <si>
    <t>1027</t>
  </si>
  <si>
    <t>中國集成控股有限公司</t>
  </si>
  <si>
    <t>1028</t>
  </si>
  <si>
    <t>千百度國際控股有限公司</t>
  </si>
  <si>
    <t>1029</t>
  </si>
  <si>
    <t>鐵江現貨有限公司</t>
  </si>
  <si>
    <t>1030</t>
  </si>
  <si>
    <t>新城發展控股有限公司</t>
  </si>
  <si>
    <t>1031</t>
  </si>
  <si>
    <t>金利豐金融集團有限公司</t>
  </si>
  <si>
    <t>1033</t>
  </si>
  <si>
    <t>中石化石油工程技術服務股份有限公司</t>
  </si>
  <si>
    <t>1035</t>
  </si>
  <si>
    <t>BBI生命科學有限公司</t>
  </si>
  <si>
    <t>1036</t>
  </si>
  <si>
    <t>萬科置業(海外)有限公司</t>
  </si>
  <si>
    <t>1037</t>
  </si>
  <si>
    <t>雲智匯科技服務有限公司</t>
  </si>
  <si>
    <t>1038</t>
  </si>
  <si>
    <t>長江基建集團有限公司</t>
  </si>
  <si>
    <t>1039</t>
  </si>
  <si>
    <t>鑫網易商集團有限公司</t>
  </si>
  <si>
    <t>1041</t>
  </si>
  <si>
    <t>林達控股有限公司</t>
  </si>
  <si>
    <t>1043</t>
  </si>
  <si>
    <t>光宇國際集團科技有限公司</t>
  </si>
  <si>
    <t>1044</t>
  </si>
  <si>
    <t>恒安國際集團有限公司</t>
  </si>
  <si>
    <t>1045</t>
  </si>
  <si>
    <t>亞太衛星控股有限公司</t>
  </si>
  <si>
    <t>1046</t>
  </si>
  <si>
    <t>寰宇國際金融控股有限公司</t>
  </si>
  <si>
    <t>1047</t>
  </si>
  <si>
    <t>毅興行有限公司</t>
  </si>
  <si>
    <t>1048</t>
  </si>
  <si>
    <t>煜新控股有限公司</t>
  </si>
  <si>
    <t>1049</t>
  </si>
  <si>
    <t>時富投資集團有限公司</t>
  </si>
  <si>
    <t>1050</t>
  </si>
  <si>
    <t>嘉利國際控股有限公司</t>
  </si>
  <si>
    <t>1051</t>
  </si>
  <si>
    <t>國際資源集團有限公司</t>
  </si>
  <si>
    <t>1052</t>
  </si>
  <si>
    <t>越秀交通基建有限公司</t>
  </si>
  <si>
    <t>1053</t>
  </si>
  <si>
    <t>重慶鋼鐵股份有限公司</t>
  </si>
  <si>
    <t>1055</t>
  </si>
  <si>
    <t>中國南方航空股份有限公司</t>
  </si>
  <si>
    <t>1057</t>
  </si>
  <si>
    <t>浙江世寶股份有限公司</t>
  </si>
  <si>
    <t>1058</t>
  </si>
  <si>
    <t>粵海制革有限公司</t>
  </si>
  <si>
    <t>1059</t>
  </si>
  <si>
    <t>看通集團有限公司</t>
  </si>
  <si>
    <t>1060</t>
  </si>
  <si>
    <t>阿里巴巴影業集團有限公司</t>
  </si>
  <si>
    <t>1061</t>
  </si>
  <si>
    <t>億勝生物科技有限公司</t>
  </si>
  <si>
    <t>1062</t>
  </si>
  <si>
    <t>國開國際投資有限公司</t>
  </si>
  <si>
    <t>1063</t>
  </si>
  <si>
    <t>新確科技有限公司</t>
  </si>
  <si>
    <t>1064</t>
  </si>
  <si>
    <t>中華國際控股有限公司</t>
  </si>
  <si>
    <t>1065</t>
  </si>
  <si>
    <t>天津創業環保集團股份有限公司</t>
  </si>
  <si>
    <t>1066</t>
  </si>
  <si>
    <t>山東威高集團醫用高分子製品股份有限公司</t>
  </si>
  <si>
    <t>1068</t>
  </si>
  <si>
    <t>中國雨潤食品集團有限公司</t>
  </si>
  <si>
    <t>1069</t>
  </si>
  <si>
    <t>中國農林低碳控股有限公司</t>
  </si>
  <si>
    <t>1070</t>
  </si>
  <si>
    <t>TCL多媒體科技控股有限公司</t>
  </si>
  <si>
    <t>1071</t>
  </si>
  <si>
    <t>華電國際電力股份有限公司</t>
  </si>
  <si>
    <t>1072</t>
  </si>
  <si>
    <t>東方電氣股份有限公司</t>
  </si>
  <si>
    <t>1073</t>
  </si>
  <si>
    <t>浩倫農業科技集團有限公司</t>
  </si>
  <si>
    <t>1075</t>
  </si>
  <si>
    <t>首都信息發展股份有限公司</t>
  </si>
  <si>
    <t>1076</t>
  </si>
  <si>
    <t>博華太平洋國際控股有限公司</t>
  </si>
  <si>
    <t>1079</t>
  </si>
  <si>
    <t>松景科技控股有限公司</t>
  </si>
  <si>
    <t>1080</t>
  </si>
  <si>
    <t>勝利油氣管道控股有限公司</t>
  </si>
  <si>
    <t>1082</t>
  </si>
  <si>
    <t>香港教育(國際)投資集團有限公司</t>
  </si>
  <si>
    <t>1083</t>
  </si>
  <si>
    <t>港華燃氣有限公司</t>
  </si>
  <si>
    <t>1085</t>
  </si>
  <si>
    <t>亨鑫科技有限公司</t>
  </si>
  <si>
    <t>1086</t>
  </si>
  <si>
    <t>好孩子國際控股有限公司</t>
  </si>
  <si>
    <t>1087</t>
  </si>
  <si>
    <t>威訊控股有限公司</t>
  </si>
  <si>
    <t>1088</t>
  </si>
  <si>
    <t>中國神華能源股份有限公司</t>
  </si>
  <si>
    <t>1089</t>
  </si>
  <si>
    <t>樂遊科技控股有限公司</t>
  </si>
  <si>
    <t>1090</t>
  </si>
  <si>
    <t>大明國際控股有限公司</t>
  </si>
  <si>
    <t>1091</t>
  </si>
  <si>
    <t>中信大錳控股有限公司</t>
  </si>
  <si>
    <t>1093</t>
  </si>
  <si>
    <t>石藥集團有限公司</t>
  </si>
  <si>
    <t>1094</t>
  </si>
  <si>
    <t>中國公共採購有限公司</t>
  </si>
  <si>
    <t>1096</t>
  </si>
  <si>
    <t>中能國際控股集團有限公司</t>
  </si>
  <si>
    <t>1097</t>
  </si>
  <si>
    <t>有線寬頻通訊有限公司</t>
  </si>
  <si>
    <t>1098</t>
  </si>
  <si>
    <t>路勁基建有限公司</t>
  </si>
  <si>
    <t>1099</t>
  </si>
  <si>
    <t>國藥控股股份有限公司</t>
  </si>
  <si>
    <t>1100</t>
  </si>
  <si>
    <t>飛達帽業控股有限公司</t>
  </si>
  <si>
    <t>1101</t>
  </si>
  <si>
    <t>中國華榮能源股份有限公司</t>
  </si>
  <si>
    <t>1102</t>
  </si>
  <si>
    <t>環能國際控股有限公司</t>
  </si>
  <si>
    <t>1103</t>
  </si>
  <si>
    <t>上海大生農業金融科技股份有限公司</t>
  </si>
  <si>
    <t>1104</t>
  </si>
  <si>
    <t>亞太資源有限公司</t>
  </si>
  <si>
    <t>1105</t>
  </si>
  <si>
    <t>星島新聞集團有限公司</t>
  </si>
  <si>
    <t>1106</t>
  </si>
  <si>
    <t>中國海景控股有限公司</t>
  </si>
  <si>
    <t>1107</t>
  </si>
  <si>
    <t>當代置業(中國)有限公司</t>
  </si>
  <si>
    <t>1108</t>
  </si>
  <si>
    <t>洛陽玻璃股份有限公司</t>
  </si>
  <si>
    <t>1109</t>
  </si>
  <si>
    <t>華潤置地有限公司</t>
  </si>
  <si>
    <t>1110</t>
  </si>
  <si>
    <t>金活醫藥集團有限公司</t>
  </si>
  <si>
    <t>1111</t>
  </si>
  <si>
    <t>創興銀行有限公司</t>
  </si>
  <si>
    <t>1112</t>
  </si>
  <si>
    <t>健合 (H&amp;H) 國際控股有限公司</t>
  </si>
  <si>
    <t>1113</t>
  </si>
  <si>
    <t>長江實業地產有限公司</t>
  </si>
  <si>
    <t>1114</t>
  </si>
  <si>
    <t>華晨中國汽車控股有限公司</t>
  </si>
  <si>
    <t>1115</t>
  </si>
  <si>
    <t>西藏水資源有限公司</t>
  </si>
  <si>
    <t>1116</t>
  </si>
  <si>
    <t>美亞控股有限公司</t>
  </si>
  <si>
    <t>1117</t>
  </si>
  <si>
    <t>中國現代牧業控股有限公司</t>
  </si>
  <si>
    <t>1118</t>
  </si>
  <si>
    <t>高力集團有限公司</t>
  </si>
  <si>
    <t>1120</t>
  </si>
  <si>
    <t>雅視光學集團有限公司</t>
  </si>
  <si>
    <t>1121</t>
  </si>
  <si>
    <t>寶峰時尚國際控股有限公司</t>
  </si>
  <si>
    <t>1122</t>
  </si>
  <si>
    <t>慶鈴汽車股份有限公司</t>
  </si>
  <si>
    <t>1123</t>
  </si>
  <si>
    <t>中港照相器材集團有限公司</t>
  </si>
  <si>
    <t>1124</t>
  </si>
  <si>
    <t>沿海綠色家園有限公司</t>
  </si>
  <si>
    <t>1125</t>
  </si>
  <si>
    <t>麗豐控股有限公司</t>
  </si>
  <si>
    <t>1126</t>
  </si>
  <si>
    <t>德林國際有限公司</t>
  </si>
  <si>
    <t>1127</t>
  </si>
  <si>
    <t>獅子山集團有限公司</t>
  </si>
  <si>
    <t>1128</t>
  </si>
  <si>
    <t>永利澳門有限公司</t>
  </si>
  <si>
    <t>1129</t>
  </si>
  <si>
    <t>中國水業集團有限公司</t>
  </si>
  <si>
    <t>1130</t>
  </si>
  <si>
    <t>中國環境資源集團有限公司</t>
  </si>
  <si>
    <t>1131</t>
  </si>
  <si>
    <t>鴻寶資源有限公司</t>
  </si>
  <si>
    <t>1132</t>
  </si>
  <si>
    <t>橙天嘉禾娛樂(集團)有限公司</t>
  </si>
  <si>
    <t>1133</t>
  </si>
  <si>
    <t>哈爾濱電氣股份有限公司</t>
  </si>
  <si>
    <t>1135</t>
  </si>
  <si>
    <t>亞洲衛星控股有限公司</t>
  </si>
  <si>
    <t>1136</t>
  </si>
  <si>
    <t>台泥國際集團有限公司</t>
  </si>
  <si>
    <t>1137</t>
  </si>
  <si>
    <t>香港電視網絡有限公司</t>
  </si>
  <si>
    <t>1138</t>
  </si>
  <si>
    <t>中遠海運能源運輸股份有限公司</t>
  </si>
  <si>
    <t>1139</t>
  </si>
  <si>
    <t>華多利集團有限公司</t>
  </si>
  <si>
    <t>1140</t>
  </si>
  <si>
    <t>東英金融投資有限公司</t>
  </si>
  <si>
    <t>1141</t>
  </si>
  <si>
    <t>民銀資本控股有限公司</t>
  </si>
  <si>
    <t>1142</t>
  </si>
  <si>
    <t>西伯利亞礦業集團有限公司</t>
  </si>
  <si>
    <t>1143</t>
  </si>
  <si>
    <t>華夏健康產業集團有限公司</t>
  </si>
  <si>
    <t>1145</t>
  </si>
  <si>
    <t>勇利航業集團有限公司</t>
  </si>
  <si>
    <t>1146</t>
  </si>
  <si>
    <t>中國服飾控股有限公司</t>
  </si>
  <si>
    <t>1148</t>
  </si>
  <si>
    <t>新晨中國動力控股有限公司</t>
  </si>
  <si>
    <t>1149</t>
  </si>
  <si>
    <t>中國安芯控股有限公司</t>
  </si>
  <si>
    <t>1150</t>
  </si>
  <si>
    <t>米蘭站控股有限公司</t>
  </si>
  <si>
    <t>1151</t>
  </si>
  <si>
    <t>依利安達集團有限公司</t>
  </si>
  <si>
    <t>1152</t>
  </si>
  <si>
    <t>新融宇集團(控股)有限公司</t>
  </si>
  <si>
    <t>1155</t>
  </si>
  <si>
    <t>星辰通信國際控股有限公司</t>
  </si>
  <si>
    <t>1157</t>
  </si>
  <si>
    <t>中聯重科股份有限公司</t>
  </si>
  <si>
    <t>1159</t>
  </si>
  <si>
    <t>集美國際娛樂集團有限公司</t>
  </si>
  <si>
    <t>1160</t>
  </si>
  <si>
    <t>大唐投資國際有限公司</t>
  </si>
  <si>
    <t>1161</t>
  </si>
  <si>
    <t>奧思集團有限公司</t>
  </si>
  <si>
    <t>1163</t>
  </si>
  <si>
    <t>德金資源集團有限公司</t>
  </si>
  <si>
    <t>1164</t>
  </si>
  <si>
    <t>中廣核礦業有限公司</t>
  </si>
  <si>
    <t>1165</t>
  </si>
  <si>
    <t>順風國際清潔能源有限公司</t>
  </si>
  <si>
    <t>1166</t>
  </si>
  <si>
    <t>星凱控股有限公司</t>
  </si>
  <si>
    <t>1168</t>
  </si>
  <si>
    <t>百仕達控股有限公司</t>
  </si>
  <si>
    <t>1169</t>
  </si>
  <si>
    <t>海爾電器集團有限公司</t>
  </si>
  <si>
    <t>1170</t>
  </si>
  <si>
    <t>信星鞋業集團有限公司</t>
  </si>
  <si>
    <t>1171</t>
  </si>
  <si>
    <t>兗州煤業股份有限公司</t>
  </si>
  <si>
    <t>1172</t>
  </si>
  <si>
    <t>勤達集團國際有限公司</t>
  </si>
  <si>
    <t>1173</t>
  </si>
  <si>
    <t>威高國際控股有限公司</t>
  </si>
  <si>
    <t>1174</t>
  </si>
  <si>
    <t>太平洋恩利國際控股有限公司</t>
  </si>
  <si>
    <t>1175</t>
  </si>
  <si>
    <t>鮮馳達控股集團有限公司</t>
  </si>
  <si>
    <t>1176</t>
  </si>
  <si>
    <t>珠光控股集團有限公司</t>
  </si>
  <si>
    <t>1177</t>
  </si>
  <si>
    <t>中國生物製藥有限公司</t>
  </si>
  <si>
    <t>1178</t>
  </si>
  <si>
    <t>共享經濟集團有限公司</t>
  </si>
  <si>
    <t>1180</t>
  </si>
  <si>
    <t>滙彩控股有限公司</t>
  </si>
  <si>
    <t>1181</t>
  </si>
  <si>
    <t>唐宮(中國)控股有限公司</t>
  </si>
  <si>
    <t>1182</t>
  </si>
  <si>
    <t>勝龍國際控股有限公司</t>
  </si>
  <si>
    <t>1184</t>
  </si>
  <si>
    <t>時捷集團有限公司</t>
  </si>
  <si>
    <t>1185</t>
  </si>
  <si>
    <t>中國航天萬源國際(集團)有限公司</t>
  </si>
  <si>
    <t>1186</t>
  </si>
  <si>
    <t>中國鐵建股份有限公司</t>
  </si>
  <si>
    <t>1187</t>
  </si>
  <si>
    <t>漢唐國際控股有限公司</t>
  </si>
  <si>
    <t>1188</t>
  </si>
  <si>
    <t>正道集團有限公司</t>
  </si>
  <si>
    <t>1189</t>
  </si>
  <si>
    <t>珀麗酒店控股有限公司</t>
  </si>
  <si>
    <t>1190</t>
  </si>
  <si>
    <t>航標控股有限公司</t>
  </si>
  <si>
    <t>1191</t>
  </si>
  <si>
    <t>粵首環保控股有限公司</t>
  </si>
  <si>
    <t>1192</t>
  </si>
  <si>
    <t>泰山石化集團有限公司</t>
  </si>
  <si>
    <t>1193</t>
  </si>
  <si>
    <t>華潤燃氣控股有限公司</t>
  </si>
  <si>
    <t>1194</t>
  </si>
  <si>
    <t>麥盛資本集團有限公司</t>
  </si>
  <si>
    <t>1195</t>
  </si>
  <si>
    <t>京維集團有限公司</t>
  </si>
  <si>
    <t>1196</t>
  </si>
  <si>
    <t>偉祿集團控股有限公司</t>
  </si>
  <si>
    <t>1197</t>
  </si>
  <si>
    <t>中國恒石基業有限公司</t>
  </si>
  <si>
    <t>1198</t>
  </si>
  <si>
    <t>皇朝傢俬控股有限公司</t>
  </si>
  <si>
    <t>中遠海運港口有限公司</t>
  </si>
  <si>
    <t>1200</t>
  </si>
  <si>
    <t>美聯集團有限公司</t>
  </si>
  <si>
    <t>1201</t>
  </si>
  <si>
    <t>天臣控股有限公司</t>
  </si>
  <si>
    <t>1202</t>
  </si>
  <si>
    <t>成都普天電纜股份有限公司</t>
  </si>
  <si>
    <t>1203</t>
  </si>
  <si>
    <t>廣南(集團)有限公司</t>
  </si>
  <si>
    <t>1205</t>
  </si>
  <si>
    <t>中信資源控股有限公司</t>
  </si>
  <si>
    <t>1206</t>
  </si>
  <si>
    <t>同方泰德國際科技有限公司</t>
  </si>
  <si>
    <t>1207</t>
  </si>
  <si>
    <t>上置集團有限公司</t>
  </si>
  <si>
    <t>1208</t>
  </si>
  <si>
    <t>五礦資源有限公司</t>
  </si>
  <si>
    <t>1210</t>
  </si>
  <si>
    <t>克莉絲汀國際控股有限公司</t>
  </si>
  <si>
    <t>1211</t>
  </si>
  <si>
    <t>比亞迪股份有限公司</t>
  </si>
  <si>
    <t>1212</t>
  </si>
  <si>
    <t>利福國際集團有限公司</t>
  </si>
  <si>
    <t>1213</t>
  </si>
  <si>
    <t>萬保剛集團有限公司</t>
  </si>
  <si>
    <t>1215</t>
  </si>
  <si>
    <t>開源控股有限公司</t>
  </si>
  <si>
    <t>1216</t>
  </si>
  <si>
    <t>中原銀行股份有限公司</t>
  </si>
  <si>
    <t>1217</t>
  </si>
  <si>
    <t>中國創新投資有限公司</t>
  </si>
  <si>
    <t>1218</t>
  </si>
  <si>
    <t>永義國際集團有限公司</t>
  </si>
  <si>
    <t>1219</t>
  </si>
  <si>
    <t>天喔國際控股有限公司</t>
  </si>
  <si>
    <t>1220</t>
  </si>
  <si>
    <t>志道國際(控股)有限公司</t>
  </si>
  <si>
    <t>1221</t>
  </si>
  <si>
    <t>信和酒店(集團)有限公司</t>
  </si>
  <si>
    <t>1222</t>
  </si>
  <si>
    <t>宏安集團有限公司</t>
  </si>
  <si>
    <t>1223</t>
  </si>
  <si>
    <t>新灃集團有限公司</t>
  </si>
  <si>
    <t>1224</t>
  </si>
  <si>
    <t>中渝置地控股有限公司</t>
  </si>
  <si>
    <t>1225</t>
  </si>
  <si>
    <t>隆成金融集團有限公司</t>
  </si>
  <si>
    <t>1226</t>
  </si>
  <si>
    <t>中國投融資集團有限公司</t>
  </si>
  <si>
    <t>1227</t>
  </si>
  <si>
    <t>國盛投資基金有限公司</t>
  </si>
  <si>
    <t>1228</t>
  </si>
  <si>
    <t>奇峰國際集團有限公司</t>
  </si>
  <si>
    <t>1229</t>
  </si>
  <si>
    <t>南南資源實業有限公司</t>
  </si>
  <si>
    <t>1230</t>
  </si>
  <si>
    <t>雅士利國際控股有限公司</t>
  </si>
  <si>
    <t>1231</t>
  </si>
  <si>
    <t>新礦資源有限公司</t>
  </si>
  <si>
    <t>1232</t>
  </si>
  <si>
    <t>金輪天地控股有限公司</t>
  </si>
  <si>
    <t>1233</t>
  </si>
  <si>
    <t>時代地產控股有限公司</t>
  </si>
  <si>
    <t>1234</t>
  </si>
  <si>
    <t>中國利郎有限公司</t>
  </si>
  <si>
    <t>1235</t>
  </si>
  <si>
    <t>專業旅運(亞洲)企業有限公司</t>
  </si>
  <si>
    <t>1236</t>
  </si>
  <si>
    <t>國農控股有限公司</t>
  </si>
  <si>
    <t>1237</t>
  </si>
  <si>
    <t>中科生物控股有限公司</t>
  </si>
  <si>
    <t>1238</t>
  </si>
  <si>
    <t>寶龍地產控股有限公司</t>
  </si>
  <si>
    <t>1239</t>
  </si>
  <si>
    <t>金寶寶控股有限公司</t>
  </si>
  <si>
    <t>1240</t>
  </si>
  <si>
    <t>青建國際控股有限公司</t>
  </si>
  <si>
    <t>1241</t>
  </si>
  <si>
    <t>雙樺控股有限公司</t>
  </si>
  <si>
    <t>1243</t>
  </si>
  <si>
    <t>宏安地產有限公司</t>
  </si>
  <si>
    <t>1245</t>
  </si>
  <si>
    <t>Niraku GC Holdings, Inc.</t>
  </si>
  <si>
    <t>1246</t>
  </si>
  <si>
    <t>毅信控股有限公司</t>
  </si>
  <si>
    <t>1247</t>
  </si>
  <si>
    <t>米格國際控股有限公司</t>
  </si>
  <si>
    <t>1249</t>
  </si>
  <si>
    <t>通力電子控股有限公司</t>
  </si>
  <si>
    <t>1250</t>
  </si>
  <si>
    <t>北控清潔能源集團有限公司</t>
  </si>
  <si>
    <t>1251</t>
  </si>
  <si>
    <t>華油能源集團有限公司</t>
  </si>
  <si>
    <t>1252</t>
  </si>
  <si>
    <t>中國天瑞集團水泥有限公司</t>
  </si>
  <si>
    <t>1253</t>
  </si>
  <si>
    <t>中國綠地博大綠澤集團有限公司</t>
  </si>
  <si>
    <t>1255</t>
  </si>
  <si>
    <t>港大零售國際控股有限公司</t>
  </si>
  <si>
    <t>1257</t>
  </si>
  <si>
    <t>中國光大綠色環保有限公司</t>
  </si>
  <si>
    <t>1258</t>
  </si>
  <si>
    <t>中國有色礦業有限公司</t>
  </si>
  <si>
    <t>1259</t>
  </si>
  <si>
    <t>中國兒童護理有限公司</t>
  </si>
  <si>
    <t>1260</t>
  </si>
  <si>
    <t>皓天財經集團控股有限公司</t>
  </si>
  <si>
    <t>1262</t>
  </si>
  <si>
    <t>蠟筆小新休閒食品集團有限公司</t>
  </si>
  <si>
    <t>1263</t>
  </si>
  <si>
    <t>栢能集團有限公司</t>
  </si>
  <si>
    <t>1265</t>
  </si>
  <si>
    <t>天津津燃公用事業股份有限公司</t>
  </si>
  <si>
    <t>1266</t>
  </si>
  <si>
    <t>西王特鋼有限公司</t>
  </si>
  <si>
    <t>1268</t>
  </si>
  <si>
    <t>中國美東汽車控股有限公司</t>
  </si>
  <si>
    <t>1269</t>
  </si>
  <si>
    <t>中國首控集團有限公司</t>
  </si>
  <si>
    <t>1270</t>
  </si>
  <si>
    <t>朗廷酒店投資及朗廷酒店投資有限公司</t>
  </si>
  <si>
    <t>1271</t>
  </si>
  <si>
    <t>佳明集團控股有限公司</t>
  </si>
  <si>
    <t>1272</t>
  </si>
  <si>
    <t>大唐環境產業集團股份有限公司</t>
  </si>
  <si>
    <t>1273</t>
  </si>
  <si>
    <t>香港信貸集團有限公司</t>
  </si>
  <si>
    <t>1275</t>
  </si>
  <si>
    <t>開元產業投資信託基金</t>
  </si>
  <si>
    <t>1277</t>
  </si>
  <si>
    <t>力量礦業能源有限公司</t>
  </si>
  <si>
    <t>1278</t>
  </si>
  <si>
    <t>中國新城鎮發展有限公司</t>
  </si>
  <si>
    <t>1280</t>
  </si>
  <si>
    <t>匯銀智慧社區有限公司</t>
  </si>
  <si>
    <t>1281</t>
  </si>
  <si>
    <t>隆基泰和智慧能源控股有限公司</t>
  </si>
  <si>
    <t>1282</t>
  </si>
  <si>
    <t>中國金洋集團有限公司</t>
  </si>
  <si>
    <t>1285</t>
  </si>
  <si>
    <t>嘉士利集團有限公司</t>
  </si>
  <si>
    <t>1288</t>
  </si>
  <si>
    <t>中國農業銀行股份有限公司</t>
  </si>
  <si>
    <t>1289</t>
  </si>
  <si>
    <t>無錫盛力達科技股份有限公司</t>
  </si>
  <si>
    <t>1290</t>
  </si>
  <si>
    <t>中國匯融金融控股有限公司</t>
  </si>
  <si>
    <t>1292</t>
  </si>
  <si>
    <t>重慶長安民生物流股份有限公司</t>
  </si>
  <si>
    <t>1293</t>
  </si>
  <si>
    <t>廣匯寶信汽車集團有限公司</t>
  </si>
  <si>
    <t>1296</t>
  </si>
  <si>
    <t>國電科技環保集團股份有限公司</t>
  </si>
  <si>
    <t>1297</t>
  </si>
  <si>
    <t>中國擎天軟件科技集團有限公司</t>
  </si>
  <si>
    <t>1298</t>
  </si>
  <si>
    <t>天美(控股)有限公司</t>
  </si>
  <si>
    <t>1299</t>
  </si>
  <si>
    <t>友邦保險控股有限公司</t>
  </si>
  <si>
    <t>1300</t>
  </si>
  <si>
    <t>俊知集團有限公司</t>
  </si>
  <si>
    <t>1301</t>
  </si>
  <si>
    <t>德基科技控股有限公司</t>
  </si>
  <si>
    <t>1302</t>
  </si>
  <si>
    <t>先健科技公司</t>
  </si>
  <si>
    <t>1303</t>
  </si>
  <si>
    <t>滙力資源(集團)有限公司</t>
  </si>
  <si>
    <t>1305</t>
  </si>
  <si>
    <t>偉志控股有限公司</t>
  </si>
  <si>
    <t>1308</t>
  </si>
  <si>
    <t>海豐國際控股有限公司</t>
  </si>
  <si>
    <t>1310</t>
  </si>
  <si>
    <t>香港寬頻有限公司</t>
  </si>
  <si>
    <t>1312</t>
  </si>
  <si>
    <t>同方康泰產業集團有限公司</t>
  </si>
  <si>
    <t>1313</t>
  </si>
  <si>
    <t>華潤水泥控股有限公司</t>
  </si>
  <si>
    <t>翠華控股有限公司</t>
  </si>
  <si>
    <t>1315</t>
  </si>
  <si>
    <t>允升國際控股有限公司</t>
  </si>
  <si>
    <t>1316</t>
  </si>
  <si>
    <t>耐世特汽車系統集團有限公司</t>
  </si>
  <si>
    <t>1317</t>
  </si>
  <si>
    <t>中國楓葉教育集團有限公司</t>
  </si>
  <si>
    <t>1318</t>
  </si>
  <si>
    <t>格菱控股有限公司</t>
  </si>
  <si>
    <t>1319</t>
  </si>
  <si>
    <t>靄華押業信貸控股有限公司</t>
  </si>
  <si>
    <t>1321</t>
  </si>
  <si>
    <t>中國新城市商業發展有限公司</t>
  </si>
  <si>
    <t>1322</t>
  </si>
  <si>
    <t>創達科技控股有限公司</t>
  </si>
  <si>
    <t>1323</t>
  </si>
  <si>
    <t>友川集團控股有限公司</t>
  </si>
  <si>
    <t>1326</t>
  </si>
  <si>
    <t>天馬影視文化控股有限公司</t>
  </si>
  <si>
    <t>1327</t>
  </si>
  <si>
    <t>時間由你國際控股有限公司</t>
  </si>
  <si>
    <t>1328</t>
  </si>
  <si>
    <t>精英國際有限公司</t>
  </si>
  <si>
    <t>1329</t>
  </si>
  <si>
    <t>首創鉅大有限公司</t>
  </si>
  <si>
    <t>1330</t>
  </si>
  <si>
    <t>綠色動力環保集團股份有限公司</t>
  </si>
  <si>
    <t>1332</t>
  </si>
  <si>
    <t>中國透雲科技集團有限公司</t>
  </si>
  <si>
    <t>1333</t>
  </si>
  <si>
    <t>中國忠旺控股有限公司</t>
  </si>
  <si>
    <t>1335</t>
  </si>
  <si>
    <t>順泰控股集團有限公司</t>
  </si>
  <si>
    <t>1336</t>
  </si>
  <si>
    <t>新華人壽保險股份有限公司</t>
  </si>
  <si>
    <t>1338</t>
  </si>
  <si>
    <t>霸王國際(集團)控股有限公司</t>
  </si>
  <si>
    <t>1339</t>
  </si>
  <si>
    <t>中國人民保險集團股份有限公司</t>
  </si>
  <si>
    <t>1340</t>
  </si>
  <si>
    <t>惠生國際控股有限公司</t>
  </si>
  <si>
    <t>1341</t>
  </si>
  <si>
    <t>昊天國際建設投資集團有限公司</t>
  </si>
  <si>
    <t>1345</t>
  </si>
  <si>
    <t>中國先鋒醫藥控股有限公司</t>
  </si>
  <si>
    <t>1347</t>
  </si>
  <si>
    <t>華虹半導體有限公司</t>
  </si>
  <si>
    <t>1348</t>
  </si>
  <si>
    <t>滉達富控股有限公司</t>
  </si>
  <si>
    <t>1349</t>
  </si>
  <si>
    <t>上海復旦張江生物醫藥股份有限公司</t>
  </si>
  <si>
    <t>1353</t>
  </si>
  <si>
    <t>福建諾奇股份有限公司</t>
  </si>
  <si>
    <t>1355</t>
  </si>
  <si>
    <t>朸濬國際集團控股有限公司</t>
  </si>
  <si>
    <t>1357</t>
  </si>
  <si>
    <t>美圖公司</t>
  </si>
  <si>
    <t>1358</t>
  </si>
  <si>
    <t>普華和順集團公司</t>
  </si>
  <si>
    <t>1359</t>
  </si>
  <si>
    <t>中國信達資產管理股份有限公司</t>
  </si>
  <si>
    <t>1360</t>
  </si>
  <si>
    <t>Mega Expo Holdings Limited</t>
  </si>
  <si>
    <t>1361</t>
  </si>
  <si>
    <t>361度國際有限公司</t>
  </si>
  <si>
    <t>1362</t>
  </si>
  <si>
    <t>新龍移動集團有限公司</t>
  </si>
  <si>
    <t>1363</t>
  </si>
  <si>
    <t>中滔環保集團有限公司</t>
  </si>
  <si>
    <t>1365</t>
  </si>
  <si>
    <t>中國潤東汽車集團有限公司</t>
  </si>
  <si>
    <t>1366</t>
  </si>
  <si>
    <t>江南集團有限公司</t>
  </si>
  <si>
    <t>1367</t>
  </si>
  <si>
    <t>恒寶企業控股有限公司</t>
  </si>
  <si>
    <t>1368</t>
  </si>
  <si>
    <t>特步國際控股有限公司</t>
  </si>
  <si>
    <t>1369</t>
  </si>
  <si>
    <t>五洲國際控股有限公司</t>
  </si>
  <si>
    <t>1370</t>
  </si>
  <si>
    <t>恒實礦業投資有限公司</t>
  </si>
  <si>
    <t>1371</t>
  </si>
  <si>
    <t>華彩控股有限公司</t>
  </si>
  <si>
    <t>1372</t>
  </si>
  <si>
    <t>比速科技集團國際有限公司</t>
  </si>
  <si>
    <t>1373</t>
  </si>
  <si>
    <t>國際家居零售有限公司</t>
  </si>
  <si>
    <t>1375</t>
  </si>
  <si>
    <t>中原證券股份有限公司</t>
  </si>
  <si>
    <t>1378</t>
  </si>
  <si>
    <t>中國宏橋集團有限公司</t>
  </si>
  <si>
    <t>1380</t>
  </si>
  <si>
    <t>中國金石礦業控股有限公司</t>
  </si>
  <si>
    <t>1381</t>
  </si>
  <si>
    <t>粵豐環保電力有限公司</t>
  </si>
  <si>
    <t>1382</t>
  </si>
  <si>
    <t>互太紡織控股有限公司</t>
  </si>
  <si>
    <t>1383</t>
  </si>
  <si>
    <t>太陽城集團控股有限公司</t>
  </si>
  <si>
    <t>1385</t>
  </si>
  <si>
    <t>上海復旦微電子集團股份有限公司</t>
  </si>
  <si>
    <t>1386</t>
  </si>
  <si>
    <t>國投集團控股有限公司</t>
  </si>
  <si>
    <t>1387</t>
  </si>
  <si>
    <t>人和商業控股有限公司</t>
  </si>
  <si>
    <t>1388</t>
  </si>
  <si>
    <t>安莉芳控股有限公司</t>
  </si>
  <si>
    <t>1389</t>
  </si>
  <si>
    <t>美捷匯控股有限公司</t>
  </si>
  <si>
    <t>1393</t>
  </si>
  <si>
    <t>恒鼎實業國際發展有限公司</t>
  </si>
  <si>
    <t>1395</t>
  </si>
  <si>
    <t>強泰環保控股有限公司</t>
  </si>
  <si>
    <t>1396</t>
  </si>
  <si>
    <t>毅德國際控股有限公司</t>
  </si>
  <si>
    <t>1397</t>
  </si>
  <si>
    <t>碧瑤綠色集團有限公司</t>
  </si>
  <si>
    <t>1398</t>
  </si>
  <si>
    <t>中國工商銀行股份有限公司</t>
  </si>
  <si>
    <t>1399</t>
  </si>
  <si>
    <t>飛毛腿集團有限公司</t>
  </si>
  <si>
    <t>1400</t>
  </si>
  <si>
    <t>宏太控股有限公司</t>
  </si>
  <si>
    <t>1415</t>
  </si>
  <si>
    <t>高偉電子控股有限公司</t>
  </si>
  <si>
    <t>1418</t>
  </si>
  <si>
    <t>盛諾集團有限公司</t>
  </si>
  <si>
    <t>1419</t>
  </si>
  <si>
    <t>盈健醫療集團有限公司</t>
  </si>
  <si>
    <t>1420</t>
  </si>
  <si>
    <t>川控股有限公司</t>
  </si>
  <si>
    <t>1421</t>
  </si>
  <si>
    <t>工蓋有限公司</t>
  </si>
  <si>
    <t>1426</t>
  </si>
  <si>
    <t>春泉產業信託</t>
  </si>
  <si>
    <t>1428</t>
  </si>
  <si>
    <t>耀才證券金融集團有限公司</t>
  </si>
  <si>
    <t>1430</t>
  </si>
  <si>
    <t>蘇創燃氣股份有限公司</t>
  </si>
  <si>
    <t>1431</t>
  </si>
  <si>
    <t>原生態牧業有限公司</t>
  </si>
  <si>
    <t>1432</t>
  </si>
  <si>
    <t>中國聖牧有機奶業有限公司</t>
  </si>
  <si>
    <t>1439</t>
  </si>
  <si>
    <t>移動互聯(中國)控股有限公司</t>
  </si>
  <si>
    <t>1443</t>
  </si>
  <si>
    <t>富臨集團控股有限公司</t>
  </si>
  <si>
    <t>1446</t>
  </si>
  <si>
    <t>鴻福堂集團控股有限公司</t>
  </si>
  <si>
    <t>1447</t>
  </si>
  <si>
    <t>新褔港建設集團有限公司</t>
  </si>
  <si>
    <t>1448</t>
  </si>
  <si>
    <t>福壽園國際集團有限公司</t>
  </si>
  <si>
    <t>1450</t>
  </si>
  <si>
    <t>世紀睿科控股有限公司</t>
  </si>
  <si>
    <t>1452</t>
  </si>
  <si>
    <t>廸諾斯環保科技控股有限公司</t>
  </si>
  <si>
    <t>1456</t>
  </si>
  <si>
    <t>國聯證券股份有限公司</t>
  </si>
  <si>
    <t>1458</t>
  </si>
  <si>
    <t>周黑鴨國際控股有限公司</t>
  </si>
  <si>
    <t>1459</t>
  </si>
  <si>
    <t>巨匠建設集團股份有限公司</t>
  </si>
  <si>
    <t>1460</t>
  </si>
  <si>
    <t>揚科集團有限公司</t>
  </si>
  <si>
    <t>1461</t>
  </si>
  <si>
    <t>魯証期貨股份有限公司</t>
  </si>
  <si>
    <t>1462</t>
  </si>
  <si>
    <t>金誠控股有限公司</t>
  </si>
  <si>
    <t>1466</t>
  </si>
  <si>
    <t>錢唐控股有限公司</t>
  </si>
  <si>
    <t>1468</t>
  </si>
  <si>
    <t>英裘(控股)有限公司</t>
  </si>
  <si>
    <t>1469</t>
  </si>
  <si>
    <t>結好金融集團有限公司</t>
  </si>
  <si>
    <t>1470</t>
  </si>
  <si>
    <t>滴達國際控股有限公司</t>
  </si>
  <si>
    <t>1476</t>
  </si>
  <si>
    <t>恒投證券</t>
  </si>
  <si>
    <t>1478</t>
  </si>
  <si>
    <t>丘鈦科技(集團)有限公司</t>
  </si>
  <si>
    <t>1480</t>
  </si>
  <si>
    <t>恩達集團控股有限公司</t>
  </si>
  <si>
    <t>1483</t>
  </si>
  <si>
    <t>譽宴集團控股有限公司</t>
  </si>
  <si>
    <t>1486</t>
  </si>
  <si>
    <t>思城控股有限公司</t>
  </si>
  <si>
    <t>1488</t>
  </si>
  <si>
    <t>百福控股有限公司</t>
  </si>
  <si>
    <t>1492</t>
  </si>
  <si>
    <t>中國中地乳業控股有限公司</t>
  </si>
  <si>
    <t>1495</t>
  </si>
  <si>
    <t>集一家居國際控股有限公司</t>
  </si>
  <si>
    <t>1496</t>
  </si>
  <si>
    <t>亞積邦租賃控股有限公司</t>
  </si>
  <si>
    <t>1498</t>
  </si>
  <si>
    <t>培力控股有限公司</t>
  </si>
  <si>
    <t>1499</t>
  </si>
  <si>
    <t>前進控股集團有限公司</t>
  </si>
  <si>
    <t>1500</t>
  </si>
  <si>
    <t>現恆建築控股有限公司</t>
  </si>
  <si>
    <t>1508</t>
  </si>
  <si>
    <t>中國再保險(集團)股份有限公司</t>
  </si>
  <si>
    <t>1509</t>
  </si>
  <si>
    <t>和美醫療控股有限公司</t>
  </si>
  <si>
    <t>1513</t>
  </si>
  <si>
    <t>麗珠醫藥集團股份有限公司</t>
  </si>
  <si>
    <t>1515</t>
  </si>
  <si>
    <t>華潤鳳凰醫療控股有限公司</t>
  </si>
  <si>
    <t>1518</t>
  </si>
  <si>
    <t>新世紀醫療控股有限公司</t>
  </si>
  <si>
    <t>1520</t>
  </si>
  <si>
    <t>時尚環球控股有限公司</t>
  </si>
  <si>
    <t>1522</t>
  </si>
  <si>
    <t>中國城市軌道交通科技控股有限公司</t>
  </si>
  <si>
    <t>1523</t>
  </si>
  <si>
    <t>珩灣科技有限公司</t>
  </si>
  <si>
    <t>1526</t>
  </si>
  <si>
    <t>瑞慈醫療服務控股有限公司</t>
  </si>
  <si>
    <t>1527</t>
  </si>
  <si>
    <t>浙江天潔環境科技股份有限公司</t>
  </si>
  <si>
    <t>1528</t>
  </si>
  <si>
    <t>紅星美凱龍家居集團股份有限公司</t>
  </si>
  <si>
    <t>1530</t>
  </si>
  <si>
    <t>三生制葯</t>
  </si>
  <si>
    <t>1532</t>
  </si>
  <si>
    <t>中國派對文化控股有限公司</t>
  </si>
  <si>
    <t>1533</t>
  </si>
  <si>
    <t>蘭州莊園牧場股份有限公司</t>
  </si>
  <si>
    <t>1536</t>
  </si>
  <si>
    <t>煜榮集團控股有限公司</t>
  </si>
  <si>
    <t>1538</t>
  </si>
  <si>
    <t>中奧到家集團有限公司</t>
  </si>
  <si>
    <t>1539</t>
  </si>
  <si>
    <t>匯能集團控股國際有限公司</t>
  </si>
  <si>
    <t>1543</t>
  </si>
  <si>
    <t>廣東中盈盛達融資擔保投資股份有限公司</t>
  </si>
  <si>
    <t>1547</t>
  </si>
  <si>
    <t>IBI Group Holdings Limited</t>
  </si>
  <si>
    <t>1548</t>
  </si>
  <si>
    <t>金斯瑞生物科技股份有限公司</t>
  </si>
  <si>
    <t>1549</t>
  </si>
  <si>
    <t>永豐集團控股有限公司</t>
  </si>
  <si>
    <t>1551</t>
  </si>
  <si>
    <t>廣州農村商業銀行股份有限公司</t>
  </si>
  <si>
    <t>1555</t>
  </si>
  <si>
    <t>MI 能源控股有限公司</t>
  </si>
  <si>
    <t>1556</t>
  </si>
  <si>
    <t>建業建榮控股有限公司</t>
  </si>
  <si>
    <t>1557</t>
  </si>
  <si>
    <t>劍虹集團控股有限公司</t>
  </si>
  <si>
    <t>1558</t>
  </si>
  <si>
    <t>宜昌東陽光長江藥業股份有限公司</t>
  </si>
  <si>
    <t>1559</t>
  </si>
  <si>
    <t>均安控股有限公司</t>
  </si>
  <si>
    <t>1560</t>
  </si>
  <si>
    <t>星星地產集團(開曼群島)有限公司</t>
  </si>
  <si>
    <t>1561</t>
  </si>
  <si>
    <t>萬輝化工控股有限公司</t>
  </si>
  <si>
    <t>1565</t>
  </si>
  <si>
    <t>成實外教育有限公司</t>
  </si>
  <si>
    <t>1566</t>
  </si>
  <si>
    <t>華夏動漫形象有限公司</t>
  </si>
  <si>
    <t>1568</t>
  </si>
  <si>
    <t>承達集團有限公司</t>
  </si>
  <si>
    <t>1569</t>
  </si>
  <si>
    <t>民生教育集團有限公司</t>
  </si>
  <si>
    <t>1570</t>
  </si>
  <si>
    <t>偉業控股有限公司</t>
  </si>
  <si>
    <t>1571</t>
  </si>
  <si>
    <t>信邦控股有限公司</t>
  </si>
  <si>
    <t>1572</t>
  </si>
  <si>
    <t>中國藝術金融控股有限公司</t>
  </si>
  <si>
    <t>1573</t>
  </si>
  <si>
    <t>中國優質能源集團有限公司</t>
  </si>
  <si>
    <t>1575</t>
  </si>
  <si>
    <t>慕容控股有限公司</t>
  </si>
  <si>
    <t>1577</t>
  </si>
  <si>
    <t>泉州匯鑫小額貸款股份有限公司</t>
  </si>
  <si>
    <t>1578</t>
  </si>
  <si>
    <t>天津銀行股份有限公司</t>
  </si>
  <si>
    <t>1579</t>
  </si>
  <si>
    <t>頤海國際控股有限公司</t>
  </si>
  <si>
    <t>1580</t>
  </si>
  <si>
    <t>大森控股集團有限公司</t>
  </si>
  <si>
    <t>1581</t>
  </si>
  <si>
    <t>進昇集團控股有限公司</t>
  </si>
  <si>
    <t>1583</t>
  </si>
  <si>
    <t>親親食品集團(開曼)股份有限公司</t>
  </si>
  <si>
    <t>1585</t>
  </si>
  <si>
    <t>雅迪集團控股有限公司</t>
  </si>
  <si>
    <t>1586</t>
  </si>
  <si>
    <t>中國力鴻檢驗控股有限公司</t>
  </si>
  <si>
    <t>1588</t>
  </si>
  <si>
    <t>暢捷通信息技術股份有限公司</t>
  </si>
  <si>
    <t>1589</t>
  </si>
  <si>
    <t>中國物流資產控股有限公司</t>
  </si>
  <si>
    <t>1591</t>
  </si>
  <si>
    <t>汛和集團控股有限公司</t>
  </si>
  <si>
    <t>1596</t>
  </si>
  <si>
    <t>河北翼辰實業集團股份有限公司</t>
  </si>
  <si>
    <t>1599</t>
  </si>
  <si>
    <t>北京城建設計發展集團股份有限公司</t>
  </si>
  <si>
    <t>1600</t>
  </si>
  <si>
    <t>中國天倫燃氣控股有限公司</t>
  </si>
  <si>
    <t>1606</t>
  </si>
  <si>
    <t>國銀金融租賃股份有限公司</t>
  </si>
  <si>
    <t>1608</t>
  </si>
  <si>
    <t>偉能集團國際控股有限公司</t>
  </si>
  <si>
    <t>1609</t>
  </si>
  <si>
    <t>創建集團(控股)有限公司</t>
  </si>
  <si>
    <t>1610</t>
  </si>
  <si>
    <t>中糧肉食控股有限公司</t>
  </si>
  <si>
    <t>1611</t>
  </si>
  <si>
    <t>桐成控股有限公司</t>
  </si>
  <si>
    <t>1612</t>
  </si>
  <si>
    <t>永勝醫療控股有限公司</t>
  </si>
  <si>
    <t>1613</t>
  </si>
  <si>
    <t>協同通信集團有限公司</t>
  </si>
  <si>
    <t>1616</t>
  </si>
  <si>
    <t>銀仕來控股有限公司</t>
  </si>
  <si>
    <t>1617</t>
  </si>
  <si>
    <t>南方通信控股有限公司</t>
  </si>
  <si>
    <t>1618</t>
  </si>
  <si>
    <t>中國冶金科工股份有限公司</t>
  </si>
  <si>
    <t>1619</t>
  </si>
  <si>
    <t>天合化工集團有限公司</t>
  </si>
  <si>
    <t>1622</t>
  </si>
  <si>
    <t>力高地產集團有限公司</t>
  </si>
  <si>
    <t>1623</t>
  </si>
  <si>
    <t>海隆控股有限公司</t>
  </si>
  <si>
    <t>1626</t>
  </si>
  <si>
    <t>嘉耀控股有限公司</t>
  </si>
  <si>
    <t>1627</t>
  </si>
  <si>
    <t>安保工程控股份有限公司</t>
  </si>
  <si>
    <t>1628</t>
  </si>
  <si>
    <t>禹洲地產股份有限公司</t>
  </si>
  <si>
    <t>1629</t>
  </si>
  <si>
    <t>盟科控股有限公司</t>
  </si>
  <si>
    <t>1630</t>
  </si>
  <si>
    <t>建成控股有限公司</t>
  </si>
  <si>
    <t>1631</t>
  </si>
  <si>
    <t>REF Holdings Limited</t>
  </si>
  <si>
    <t>1632</t>
  </si>
  <si>
    <t>膳源控股有限公司</t>
  </si>
  <si>
    <t>1633</t>
  </si>
  <si>
    <t>上諭集團控股有限公司</t>
  </si>
  <si>
    <t>1635</t>
  </si>
  <si>
    <t>上海大眾公用事業(集團)股份有限公司</t>
  </si>
  <si>
    <t>1636</t>
  </si>
  <si>
    <t>中國金屬資源利用有限公司</t>
  </si>
  <si>
    <t>1637</t>
  </si>
  <si>
    <t>順興集團(控股)有限公司</t>
  </si>
  <si>
    <t>1638</t>
  </si>
  <si>
    <t>佳兆業集團控股有限公司</t>
  </si>
  <si>
    <t>1639</t>
  </si>
  <si>
    <t>安捷利實業有限公司</t>
  </si>
  <si>
    <t>1647</t>
  </si>
  <si>
    <t>SHIS Limited</t>
  </si>
  <si>
    <t>1649</t>
  </si>
  <si>
    <t>內蒙古能源建設投資股份有限公司</t>
  </si>
  <si>
    <t>1655</t>
  </si>
  <si>
    <t>Okura Holdings Limited</t>
  </si>
  <si>
    <t>1656</t>
  </si>
  <si>
    <t>億仕登控股有限公司</t>
  </si>
  <si>
    <t>1658</t>
  </si>
  <si>
    <t>中國郵政儲蓄銀行股份有限公司</t>
  </si>
  <si>
    <t>1660</t>
  </si>
  <si>
    <t>善樂國際控股有限公司</t>
  </si>
  <si>
    <t>1661</t>
  </si>
  <si>
    <t>智美體育集團</t>
  </si>
  <si>
    <t>1662</t>
  </si>
  <si>
    <t>義合控股有限公司</t>
  </si>
  <si>
    <t>1663</t>
  </si>
  <si>
    <t>漢港控股集團有限公司</t>
  </si>
  <si>
    <t>1666</t>
  </si>
  <si>
    <t>北京同仁堂科技發展股份有限公司</t>
  </si>
  <si>
    <t>1667</t>
  </si>
  <si>
    <t>進階發展集團有限公司</t>
  </si>
  <si>
    <t>1668</t>
  </si>
  <si>
    <t>華南城控股有限公司</t>
  </si>
  <si>
    <t>1669</t>
  </si>
  <si>
    <t>環球信貸集團有限公司</t>
  </si>
  <si>
    <t>1673</t>
  </si>
  <si>
    <t>華章科技控股有限公司</t>
  </si>
  <si>
    <t>1676</t>
  </si>
  <si>
    <t>中國升海食品控股有限公司</t>
  </si>
  <si>
    <t>1678</t>
  </si>
  <si>
    <t>中創環球控股有限公司</t>
  </si>
  <si>
    <t>1679</t>
  </si>
  <si>
    <t>瑞斯康集團控股有限公司</t>
  </si>
  <si>
    <t>1680</t>
  </si>
  <si>
    <t>澳門勵駿創建有限公司</t>
  </si>
  <si>
    <t>1681</t>
  </si>
  <si>
    <t>康臣藥業集團有限公司</t>
  </si>
  <si>
    <t>1682</t>
  </si>
  <si>
    <t>高銳中國物聯網國際有限公司</t>
  </si>
  <si>
    <t>1683</t>
  </si>
  <si>
    <t>皇中國際控股有限公司</t>
  </si>
  <si>
    <t>1685</t>
  </si>
  <si>
    <t>博耳電力控股有限公司</t>
  </si>
  <si>
    <t>1689</t>
  </si>
  <si>
    <t>華禧控股有限公司</t>
  </si>
  <si>
    <t>1693</t>
  </si>
  <si>
    <t>璋利國際控股有限公司</t>
  </si>
  <si>
    <t>1695</t>
  </si>
  <si>
    <t>椰豐集團有限公司</t>
  </si>
  <si>
    <t>1698</t>
  </si>
  <si>
    <t>博士蛙國際控股有限公司</t>
  </si>
  <si>
    <t>1699</t>
  </si>
  <si>
    <t>中國普甜食品控股有限公司</t>
  </si>
  <si>
    <t>1700</t>
  </si>
  <si>
    <t>華地國際控股有限公司</t>
  </si>
  <si>
    <t>1702</t>
  </si>
  <si>
    <t>東光化工有限公司</t>
  </si>
  <si>
    <t>1708</t>
  </si>
  <si>
    <t>南京三寶科技股份有限公司</t>
  </si>
  <si>
    <t>1717</t>
  </si>
  <si>
    <t>澳優乳業股份有限公司</t>
  </si>
  <si>
    <t>1718</t>
  </si>
  <si>
    <t>宏基集團控股有限公司</t>
  </si>
  <si>
    <t>1728</t>
  </si>
  <si>
    <t>中國正通汽車服務控股有限公司</t>
  </si>
  <si>
    <t>1733</t>
  </si>
  <si>
    <t>易大宗控股有限公司</t>
  </si>
  <si>
    <t>1738</t>
  </si>
  <si>
    <t>飛尚無煙煤資源有限公司</t>
  </si>
  <si>
    <t>1766</t>
  </si>
  <si>
    <t>中國中車股份有限公司</t>
  </si>
  <si>
    <t>1771</t>
  </si>
  <si>
    <t>新豐泰集團控股有限公司</t>
  </si>
  <si>
    <t>1776</t>
  </si>
  <si>
    <t>廣發證券股份有限公司</t>
  </si>
  <si>
    <t>1777</t>
  </si>
  <si>
    <t>花樣年控股集團有限公司</t>
  </si>
  <si>
    <t>1778</t>
  </si>
  <si>
    <t>彩生活服務集團有限公司</t>
  </si>
  <si>
    <t>1786</t>
  </si>
  <si>
    <t>中國鐵建高新裝備股份有限公司</t>
  </si>
  <si>
    <t>1788</t>
  </si>
  <si>
    <t>國泰君安國際控股有限公司</t>
  </si>
  <si>
    <t>1798</t>
  </si>
  <si>
    <t>中國大唐集團新能源股份有限公司</t>
  </si>
  <si>
    <t>1799</t>
  </si>
  <si>
    <t>新特能源股份有限公司</t>
  </si>
  <si>
    <t>1800</t>
  </si>
  <si>
    <t>中國交通建設股份有限公司</t>
  </si>
  <si>
    <t>1803</t>
  </si>
  <si>
    <t>北京體育文化產業集團有限公司</t>
  </si>
  <si>
    <t>1808</t>
  </si>
  <si>
    <t>企展控股有限公司</t>
  </si>
  <si>
    <t>1811</t>
  </si>
  <si>
    <t>中國廣核新能源控股有限公司</t>
  </si>
  <si>
    <t>1812</t>
  </si>
  <si>
    <t>山東晨鳴紙業集團股份有限公司</t>
  </si>
  <si>
    <t>1813</t>
  </si>
  <si>
    <t>合景泰富地產控股有限公司</t>
  </si>
  <si>
    <t>1816</t>
  </si>
  <si>
    <t>中國廣核電力股份有限公司</t>
  </si>
  <si>
    <t>招金礦業股份有限公司</t>
  </si>
  <si>
    <t>1819</t>
  </si>
  <si>
    <t>富貴鳥股份有限公司</t>
  </si>
  <si>
    <t>1822</t>
  </si>
  <si>
    <t>弘達金融控股有限公司</t>
  </si>
  <si>
    <t>1823</t>
  </si>
  <si>
    <t>華昱高速集團有限公司</t>
  </si>
  <si>
    <t>1826</t>
  </si>
  <si>
    <t>豐展控股有限公司</t>
  </si>
  <si>
    <t>1828</t>
  </si>
  <si>
    <t>大昌行集團有限公司</t>
  </si>
  <si>
    <t>1829</t>
  </si>
  <si>
    <t>中國機械設備工程股份有限公司</t>
  </si>
  <si>
    <t>1830</t>
  </si>
  <si>
    <t>必瘦站美容科技有限公司</t>
  </si>
  <si>
    <t>1831</t>
  </si>
  <si>
    <t>十方控股有限公司</t>
  </si>
  <si>
    <t>1833</t>
  </si>
  <si>
    <t>銀泰商業(集團)有限公司</t>
  </si>
  <si>
    <t>1836</t>
  </si>
  <si>
    <t>九興控股有限公司</t>
  </si>
  <si>
    <t>1838</t>
  </si>
  <si>
    <t>China Properties Group Limited</t>
  </si>
  <si>
    <t>1848</t>
  </si>
  <si>
    <t>中國飛機租賃集團控股有限公司</t>
  </si>
  <si>
    <t>1856</t>
  </si>
  <si>
    <t>依波路控股有限公司</t>
  </si>
  <si>
    <t>1858</t>
  </si>
  <si>
    <t>北京市春立正達醫療器械股份有限公司</t>
  </si>
  <si>
    <t>1862</t>
  </si>
  <si>
    <t>景瑞控股有限公司</t>
  </si>
  <si>
    <t>1863</t>
  </si>
  <si>
    <t>中國龍天集團有限公司</t>
  </si>
  <si>
    <t>1866</t>
  </si>
  <si>
    <t>中國心連心化肥有限公司</t>
  </si>
  <si>
    <t>1868</t>
  </si>
  <si>
    <t>同方友友控股有限公司</t>
  </si>
  <si>
    <t>1878</t>
  </si>
  <si>
    <t>南戈壁資源有限公司</t>
  </si>
  <si>
    <t>1880</t>
  </si>
  <si>
    <t>百麗國際控股有限公司</t>
  </si>
  <si>
    <t>1881</t>
  </si>
  <si>
    <t>富豪產業信託</t>
  </si>
  <si>
    <t>1882</t>
  </si>
  <si>
    <t>海天國際控股有限公司</t>
  </si>
  <si>
    <t>1883</t>
  </si>
  <si>
    <t>中信國際電訊集團有限公司</t>
  </si>
  <si>
    <t>1884</t>
  </si>
  <si>
    <t>eprint 集團有限公司</t>
  </si>
  <si>
    <t>1885</t>
  </si>
  <si>
    <t>中國優材(控股)有限公司</t>
  </si>
  <si>
    <t>1886</t>
  </si>
  <si>
    <t>中國滙源果汁集團有限公司</t>
  </si>
  <si>
    <t>1888</t>
  </si>
  <si>
    <t>建滔積層板控股有限公司</t>
  </si>
  <si>
    <t>1889</t>
  </si>
  <si>
    <t>武夷國際藥業有限公司</t>
  </si>
  <si>
    <t>1893</t>
  </si>
  <si>
    <t>中國中材股份有限公司</t>
  </si>
  <si>
    <t>1898</t>
  </si>
  <si>
    <t>中國中煤能源股份有限公司</t>
  </si>
  <si>
    <t>1899</t>
  </si>
  <si>
    <t>興達國際控股有限公司</t>
  </si>
  <si>
    <t>1900</t>
  </si>
  <si>
    <t>中國智能交通系統(控股)有限公司</t>
  </si>
  <si>
    <t>1908</t>
  </si>
  <si>
    <t>建發國際投資集團有限公司</t>
  </si>
  <si>
    <t>1910</t>
  </si>
  <si>
    <t>新秀麗國際有限公司</t>
  </si>
  <si>
    <t>1913</t>
  </si>
  <si>
    <t>PRADA S.p.A.</t>
  </si>
  <si>
    <t>1918</t>
  </si>
  <si>
    <t>融創中國控股有限公司</t>
  </si>
  <si>
    <t>1919</t>
  </si>
  <si>
    <t>中遠海運控股股份有限公司</t>
  </si>
  <si>
    <t>1928</t>
  </si>
  <si>
    <t>金沙中國有限公司</t>
  </si>
  <si>
    <t>1929</t>
  </si>
  <si>
    <t>周大福珠寶集團有限公司</t>
  </si>
  <si>
    <t>1932</t>
  </si>
  <si>
    <t>中漆集團有限公司</t>
  </si>
  <si>
    <t>1938</t>
  </si>
  <si>
    <t>珠江石油天然氣鋼管控股有限公司</t>
  </si>
  <si>
    <t>1958</t>
  </si>
  <si>
    <t>北京汽車股份有限公司</t>
  </si>
  <si>
    <t>1962</t>
  </si>
  <si>
    <t>訓修實業集團有限公司</t>
  </si>
  <si>
    <t>1963</t>
  </si>
  <si>
    <t>重慶銀行股份有限公司</t>
  </si>
  <si>
    <t>1966</t>
  </si>
  <si>
    <t>中駿置業控股有限公司</t>
  </si>
  <si>
    <t>1970</t>
  </si>
  <si>
    <t>IMAX China Holding. Inc.</t>
  </si>
  <si>
    <t>1972</t>
  </si>
  <si>
    <t>太古地產有限公司</t>
  </si>
  <si>
    <t>1979</t>
  </si>
  <si>
    <t>天寶集團控股有限公司</t>
  </si>
  <si>
    <t>1980</t>
  </si>
  <si>
    <t>天鴿互動控股有限公司</t>
  </si>
  <si>
    <t>1982</t>
  </si>
  <si>
    <t>南旋控股有限公司</t>
  </si>
  <si>
    <t>1985</t>
  </si>
  <si>
    <t>美高域集團有限公司</t>
  </si>
  <si>
    <t>1986</t>
  </si>
  <si>
    <t>彩客化學集團有限公司</t>
  </si>
  <si>
    <t>1988</t>
  </si>
  <si>
    <t>中國民生銀行股份有限公司</t>
  </si>
  <si>
    <t>1989</t>
  </si>
  <si>
    <t>松齡護老集團有限公司</t>
  </si>
  <si>
    <t>1991</t>
  </si>
  <si>
    <t>大洋集團控股有限公司</t>
  </si>
  <si>
    <t>1993</t>
  </si>
  <si>
    <t>雅仕維傳媒集團有限公司</t>
  </si>
  <si>
    <t>1998</t>
  </si>
  <si>
    <t>飛克國際控股有限公司</t>
  </si>
  <si>
    <t>1999</t>
  </si>
  <si>
    <t>敏華控股有限公司</t>
  </si>
  <si>
    <t>2000</t>
  </si>
  <si>
    <t>晨訊科技集團有限公司</t>
  </si>
  <si>
    <t>2001</t>
  </si>
  <si>
    <t>中國新高教集團有限公司</t>
  </si>
  <si>
    <t>2002</t>
  </si>
  <si>
    <t>中國陽光紙業控股有限公司</t>
  </si>
  <si>
    <t>2005</t>
  </si>
  <si>
    <t>石四藥集團有限公司</t>
  </si>
  <si>
    <t>2006</t>
  </si>
  <si>
    <t>上海錦江國際酒店(集團)股份有限公司</t>
  </si>
  <si>
    <t>2007</t>
  </si>
  <si>
    <t>碧桂園控股有限公司</t>
  </si>
  <si>
    <t>2008</t>
  </si>
  <si>
    <t>鳳凰衛視控股有限公司</t>
  </si>
  <si>
    <t>2009</t>
  </si>
  <si>
    <t>北京金隅股份有限公司</t>
  </si>
  <si>
    <t>2010</t>
  </si>
  <si>
    <t>瑞年國際有限公司</t>
  </si>
  <si>
    <t>2011</t>
  </si>
  <si>
    <t>開易控股有限公司</t>
  </si>
  <si>
    <t>2012</t>
  </si>
  <si>
    <t>陽光油砂有限公司</t>
  </si>
  <si>
    <t>2014</t>
  </si>
  <si>
    <t>浩澤淨水國際控股有限公司</t>
  </si>
  <si>
    <t>2016</t>
  </si>
  <si>
    <t>浙商銀行股份有限公司</t>
  </si>
  <si>
    <t>2017</t>
  </si>
  <si>
    <t>滄海控股有限公司</t>
  </si>
  <si>
    <t>2018</t>
  </si>
  <si>
    <t>瑞聲科技控股有限公司</t>
  </si>
  <si>
    <t>2020</t>
  </si>
  <si>
    <t>安踏體育用品有限公司</t>
  </si>
  <si>
    <t>2023</t>
  </si>
  <si>
    <t>中國綠島科技有限公司</t>
  </si>
  <si>
    <t>2028</t>
  </si>
  <si>
    <t>映美控股有限公司</t>
  </si>
  <si>
    <t>2030</t>
  </si>
  <si>
    <t>卡賓服飾有限公司</t>
  </si>
  <si>
    <t>2031</t>
  </si>
  <si>
    <t>澳至尊國際控股有限公司</t>
  </si>
  <si>
    <t>2033</t>
  </si>
  <si>
    <t>時計寶投資有限公司</t>
  </si>
  <si>
    <t>2038</t>
  </si>
  <si>
    <t>富智康集團有限公司</t>
  </si>
  <si>
    <t>2039</t>
  </si>
  <si>
    <t>中國國際海運集裝箱(集團)股份有限公司</t>
  </si>
  <si>
    <t>2066</t>
  </si>
  <si>
    <t>盛京銀行股份有限公司</t>
  </si>
  <si>
    <t>2068</t>
  </si>
  <si>
    <t>中鋁國際工程股份有限公司</t>
  </si>
  <si>
    <t>2078</t>
  </si>
  <si>
    <t>榮陽實業集團有限公司</t>
  </si>
  <si>
    <t>2080</t>
  </si>
  <si>
    <t>奧克斯國際控股有限公司</t>
  </si>
  <si>
    <t>2083</t>
  </si>
  <si>
    <t>大自然家居控股有限公司</t>
  </si>
  <si>
    <t>2086</t>
  </si>
  <si>
    <t>龍傑智能卡控股有限公司</t>
  </si>
  <si>
    <t>2088</t>
  </si>
  <si>
    <t>西王置業控股有限公司</t>
  </si>
  <si>
    <t>2098</t>
  </si>
  <si>
    <t>卓爾集團股份有限公司</t>
  </si>
  <si>
    <t>2099</t>
  </si>
  <si>
    <t>中國黃金國際資源有限公司</t>
  </si>
  <si>
    <t>2100</t>
  </si>
  <si>
    <t>百奧家庭互動有限公司</t>
  </si>
  <si>
    <t>2111</t>
  </si>
  <si>
    <t>超盈國際控股有限公司</t>
  </si>
  <si>
    <t>2112</t>
  </si>
  <si>
    <t>優庫資源有限公司</t>
  </si>
  <si>
    <t>2113</t>
  </si>
  <si>
    <t>東盈控股有限公司</t>
  </si>
  <si>
    <t>2118</t>
  </si>
  <si>
    <t>天山發展(控股)有限公司</t>
  </si>
  <si>
    <t>2120</t>
  </si>
  <si>
    <t>溫州康寧醫院股份有限公司</t>
  </si>
  <si>
    <t>2121</t>
  </si>
  <si>
    <t>一化控股(中國)有限公司</t>
  </si>
  <si>
    <t>2123</t>
  </si>
  <si>
    <t>金盾控股(實業)有限公司</t>
  </si>
  <si>
    <t>2128</t>
  </si>
  <si>
    <t>中國聯塑集團控股有限公司</t>
  </si>
  <si>
    <t>2133</t>
  </si>
  <si>
    <t>中國多金屬礦業有限公司</t>
  </si>
  <si>
    <t>2136</t>
  </si>
  <si>
    <t>利福中國集團有限公司</t>
  </si>
  <si>
    <t>2138</t>
  </si>
  <si>
    <t>香港醫思醫療集團有限公司</t>
  </si>
  <si>
    <t>2166</t>
  </si>
  <si>
    <t>芯智控股有限公司</t>
  </si>
  <si>
    <t>2168</t>
  </si>
  <si>
    <t>盈德氣體集團有限公司</t>
  </si>
  <si>
    <t>2178</t>
  </si>
  <si>
    <t>百勤油田服務有限公司</t>
  </si>
  <si>
    <t>2183</t>
  </si>
  <si>
    <t>利福地產發展有限公司</t>
  </si>
  <si>
    <t>2186</t>
  </si>
  <si>
    <t>綠葉製藥集團有限公司</t>
  </si>
  <si>
    <t>2188</t>
  </si>
  <si>
    <t>中國泰坦能源技術集團有限公司</t>
  </si>
  <si>
    <t>2193</t>
  </si>
  <si>
    <t>萬景控股有限公司</t>
  </si>
  <si>
    <t>2196</t>
  </si>
  <si>
    <t>上海復星醫藥(集團)股份有限公司</t>
  </si>
  <si>
    <t>2198</t>
  </si>
  <si>
    <t>中國三江精細化工有限公司</t>
  </si>
  <si>
    <t>2199</t>
  </si>
  <si>
    <t>維珍妮國際(控股)有限公司</t>
  </si>
  <si>
    <t>2200</t>
  </si>
  <si>
    <t>浩沙國際有限公司</t>
  </si>
  <si>
    <t>2202</t>
  </si>
  <si>
    <t>萬科企業股份有限公司</t>
  </si>
  <si>
    <t>2203</t>
  </si>
  <si>
    <t>泰邦集團國際控股有限公司</t>
  </si>
  <si>
    <t>2208</t>
  </si>
  <si>
    <t>新彊金風科技股份有限公司</t>
  </si>
  <si>
    <t>2211</t>
  </si>
  <si>
    <t>大健康國際集團控股有限公司</t>
  </si>
  <si>
    <t>2212</t>
  </si>
  <si>
    <t>高鵬礦業控股有限公司</t>
  </si>
  <si>
    <t>2213</t>
  </si>
  <si>
    <t>益華控股有限公司</t>
  </si>
  <si>
    <t>2218</t>
  </si>
  <si>
    <t>烟台北方安德利果汁股份有限公司</t>
  </si>
  <si>
    <t>2221</t>
  </si>
  <si>
    <t>創業集團(控股)有限公司</t>
  </si>
  <si>
    <t>2222</t>
  </si>
  <si>
    <t>雷士照明控股有限公司</t>
  </si>
  <si>
    <t>2223</t>
  </si>
  <si>
    <t>卡撒天嬌集團有限公司</t>
  </si>
  <si>
    <t>2226</t>
  </si>
  <si>
    <t>老恒和釀造有限公司</t>
  </si>
  <si>
    <t>2228</t>
  </si>
  <si>
    <t>中國節能海東青新材料集團有限公司</t>
  </si>
  <si>
    <t>2229</t>
  </si>
  <si>
    <t>長港敦信實業有限公司</t>
  </si>
  <si>
    <t>中國西部水泥有限公司</t>
  </si>
  <si>
    <t>2236</t>
  </si>
  <si>
    <t>惠生工程技術服務有限公司</t>
  </si>
  <si>
    <t>2238</t>
  </si>
  <si>
    <t>廣州汽車集團股份有限公司</t>
  </si>
  <si>
    <t>2239</t>
  </si>
  <si>
    <t>國微技術控股有限公司</t>
  </si>
  <si>
    <t>2255</t>
  </si>
  <si>
    <t>海昌海洋公園控股有限公司</t>
  </si>
  <si>
    <t>2266</t>
  </si>
  <si>
    <t>黎氏企業控股有限公司</t>
  </si>
  <si>
    <t>2268</t>
  </si>
  <si>
    <t>優源國際控股有限公司</t>
  </si>
  <si>
    <t>2269</t>
  </si>
  <si>
    <t>藥明生物技術有限公司</t>
  </si>
  <si>
    <t>2277</t>
  </si>
  <si>
    <t>華融投資股份有限公司</t>
  </si>
  <si>
    <t>2278</t>
  </si>
  <si>
    <t>海藍控股有限公司</t>
  </si>
  <si>
    <t>2280</t>
  </si>
  <si>
    <t>慧聰網有限公司</t>
  </si>
  <si>
    <t>2281</t>
  </si>
  <si>
    <t>瀘州市興瀘水務(集團)股份有限公司</t>
  </si>
  <si>
    <t>2282</t>
  </si>
  <si>
    <t>美高梅中國控股有限公司</t>
  </si>
  <si>
    <t>2283</t>
  </si>
  <si>
    <t>東江集團(控股)有限公司</t>
  </si>
  <si>
    <t>2286</t>
  </si>
  <si>
    <t>辰興發展控股有限公司</t>
  </si>
  <si>
    <t>2288</t>
  </si>
  <si>
    <t>宏基資本有限公司</t>
  </si>
  <si>
    <t>2289</t>
  </si>
  <si>
    <t>創美藥業股份有限公司</t>
  </si>
  <si>
    <t>2293</t>
  </si>
  <si>
    <t>百本醫護控股有限公司</t>
  </si>
  <si>
    <t>2298</t>
  </si>
  <si>
    <t>都市麗人(中國)控股有限公司</t>
  </si>
  <si>
    <t>2299</t>
  </si>
  <si>
    <t>百宏實業控股有限公司</t>
  </si>
  <si>
    <t>2300</t>
  </si>
  <si>
    <t>澳科控股有限公司</t>
  </si>
  <si>
    <t>2302</t>
  </si>
  <si>
    <t>中核國際有限公司</t>
  </si>
  <si>
    <t>2303</t>
  </si>
  <si>
    <t>恒興黃金控股有限公司</t>
  </si>
  <si>
    <t>2307</t>
  </si>
  <si>
    <t>錦興國際控股有限公司</t>
  </si>
  <si>
    <t>2308</t>
  </si>
  <si>
    <t>研祥智能科技股份有限公司</t>
  </si>
  <si>
    <t>2309</t>
  </si>
  <si>
    <t>伯明翰體育控股有限公司</t>
  </si>
  <si>
    <t>2310</t>
  </si>
  <si>
    <t>申基國際控股有限公司</t>
  </si>
  <si>
    <t>2312</t>
  </si>
  <si>
    <t>中國金融租賃集團有限公司</t>
  </si>
  <si>
    <t>2313</t>
  </si>
  <si>
    <t>申洲國際集團控股有限公司</t>
  </si>
  <si>
    <t>2314</t>
  </si>
  <si>
    <t>理文造紙有限公司</t>
  </si>
  <si>
    <t>2317</t>
  </si>
  <si>
    <t>味丹國際(控股)有限公司</t>
  </si>
  <si>
    <t>2318</t>
  </si>
  <si>
    <t>中國平安保險(集團)股份有限公司</t>
  </si>
  <si>
    <t>2319</t>
  </si>
  <si>
    <t>中國蒙牛乳業有限公司</t>
  </si>
  <si>
    <t>2320</t>
  </si>
  <si>
    <t>合豐集團控股有限公司</t>
  </si>
  <si>
    <t>2322</t>
  </si>
  <si>
    <t>仁瑞投資控股有限公司</t>
  </si>
  <si>
    <t>2323</t>
  </si>
  <si>
    <t>中國港橋控股有限公司</t>
  </si>
  <si>
    <t>2324</t>
  </si>
  <si>
    <t>首都創投有限公司</t>
  </si>
  <si>
    <t>2326</t>
  </si>
  <si>
    <t>百靈達國際控股有限公司</t>
  </si>
  <si>
    <t>2327</t>
  </si>
  <si>
    <t>美瑞健康國際產業集團有限公司</t>
  </si>
  <si>
    <t>2328</t>
  </si>
  <si>
    <t>中國人民財產保險股份有限公司</t>
  </si>
  <si>
    <t>2329</t>
  </si>
  <si>
    <t>國瑞置業有限公司</t>
  </si>
  <si>
    <t>2330</t>
  </si>
  <si>
    <t>中國上城集團有限公司</t>
  </si>
  <si>
    <t>2331</t>
  </si>
  <si>
    <t>李寧有限公司</t>
  </si>
  <si>
    <t>2333</t>
  </si>
  <si>
    <t>長城汽車股份有限公司</t>
  </si>
  <si>
    <t>2336</t>
  </si>
  <si>
    <t>海亮國際控股有限公司</t>
  </si>
  <si>
    <t>2338</t>
  </si>
  <si>
    <t>濰柴動力股份有限公司</t>
  </si>
  <si>
    <t>2339</t>
  </si>
  <si>
    <t>京西重工國際有限公司</t>
  </si>
  <si>
    <t>2340</t>
  </si>
  <si>
    <t>昇捷控股有限公司</t>
  </si>
  <si>
    <t>2341</t>
  </si>
  <si>
    <t>中怡國際集團有限公司</t>
  </si>
  <si>
    <t>2342</t>
  </si>
  <si>
    <t>京信通信系統控股有限公司</t>
  </si>
  <si>
    <t>2343</t>
  </si>
  <si>
    <t>太平洋航運集團有限公司</t>
  </si>
  <si>
    <t>2345</t>
  </si>
  <si>
    <t>上海集優機械股份有限公司</t>
  </si>
  <si>
    <t>2348</t>
  </si>
  <si>
    <t>東瑞製葯(控股)有限公司</t>
  </si>
  <si>
    <t>2349</t>
  </si>
  <si>
    <t>中國城市基礎設施集團有限公司</t>
  </si>
  <si>
    <t>2355</t>
  </si>
  <si>
    <t>寳業集團股份有限公司</t>
  </si>
  <si>
    <t>2356</t>
  </si>
  <si>
    <t>大新銀行集團有限公司</t>
  </si>
  <si>
    <t>2357</t>
  </si>
  <si>
    <t>中國航空科技工業股份有限公司</t>
  </si>
  <si>
    <t>2358</t>
  </si>
  <si>
    <t>久融控股有限公司</t>
  </si>
  <si>
    <t>2362</t>
  </si>
  <si>
    <t>金川集團國際資源有限公司</t>
  </si>
  <si>
    <t>2366</t>
  </si>
  <si>
    <t>星美文化旅遊集團控股有限公司</t>
  </si>
  <si>
    <t>2368</t>
  </si>
  <si>
    <t>鷹美(國際)控股有限公司</t>
  </si>
  <si>
    <t>2369</t>
  </si>
  <si>
    <t>酷派集團有限公司</t>
  </si>
  <si>
    <t>2371</t>
  </si>
  <si>
    <t>中國創聯教育金融集團有限公司</t>
  </si>
  <si>
    <t>2378</t>
  </si>
  <si>
    <t>英國保誠有限公司</t>
  </si>
  <si>
    <t>2379</t>
  </si>
  <si>
    <t>中天國際控股有限公司</t>
  </si>
  <si>
    <t>2380</t>
  </si>
  <si>
    <t>中國電力國際發展有限公司</t>
  </si>
  <si>
    <t>2382</t>
  </si>
  <si>
    <t>舜宇光學科技(集團)有限公司</t>
  </si>
  <si>
    <t>2383</t>
  </si>
  <si>
    <t>TOM集團有限公司</t>
  </si>
  <si>
    <t>2386</t>
  </si>
  <si>
    <t>中石化煉化工程(集團)股份有限公司</t>
  </si>
  <si>
    <t>2388</t>
  </si>
  <si>
    <t>中銀香港(控股)有限公司</t>
  </si>
  <si>
    <t>2389</t>
  </si>
  <si>
    <t>北控醫療健康產業集團有限公司</t>
  </si>
  <si>
    <t>2393</t>
  </si>
  <si>
    <t>巨星醫療控股有限公司</t>
  </si>
  <si>
    <t>2398</t>
  </si>
  <si>
    <t>友佳國際控股有限公司</t>
  </si>
  <si>
    <t>2399</t>
  </si>
  <si>
    <t>中國虎都控股有限公司</t>
  </si>
  <si>
    <t>2468</t>
  </si>
  <si>
    <t>創益太陽能控股有限公司</t>
  </si>
  <si>
    <t>2488</t>
  </si>
  <si>
    <t>深圳市元征科技股份有限公司</t>
  </si>
  <si>
    <t>2588</t>
  </si>
  <si>
    <t>中銀航空租賃有限公司</t>
  </si>
  <si>
    <t>2600</t>
  </si>
  <si>
    <t>中國鋁業股份有限公司</t>
  </si>
  <si>
    <t>2601</t>
  </si>
  <si>
    <t>中國太平洋保險(集團)股份有限公司</t>
  </si>
  <si>
    <t>2607</t>
  </si>
  <si>
    <t>上海醫藥集團股份有限公司</t>
  </si>
  <si>
    <t>2608</t>
  </si>
  <si>
    <t>陽光100中國控股有限公司</t>
  </si>
  <si>
    <t>2611</t>
  </si>
  <si>
    <t>國泰君安證券股份有限公司</t>
  </si>
  <si>
    <t>2623</t>
  </si>
  <si>
    <t>愛德新能源投資控股集團有限公司</t>
  </si>
  <si>
    <t>2628</t>
  </si>
  <si>
    <t>中國人壽保險股份有限公司</t>
  </si>
  <si>
    <t>2633</t>
  </si>
  <si>
    <t>雅各臣科研製藥有限公司</t>
  </si>
  <si>
    <t>2638</t>
  </si>
  <si>
    <t>港燈電力投資和港燈電力投資有限公司</t>
  </si>
  <si>
    <t>2662</t>
  </si>
  <si>
    <t>承興國際控股有限公司</t>
  </si>
  <si>
    <t>2666</t>
  </si>
  <si>
    <t>環球醫療金融與技術諮詢服務有限公司</t>
  </si>
  <si>
    <t>2668</t>
  </si>
  <si>
    <t>百德國際有限公司</t>
  </si>
  <si>
    <t>2669</t>
  </si>
  <si>
    <t>中國物業集團有限公司</t>
  </si>
  <si>
    <t>2678</t>
  </si>
  <si>
    <t>天虹紡織集團有限公司</t>
  </si>
  <si>
    <t>2686</t>
  </si>
  <si>
    <t>亞美能源控股有限公司</t>
  </si>
  <si>
    <t>2688</t>
  </si>
  <si>
    <t>新奧能源控股有限公司</t>
  </si>
  <si>
    <t>2689</t>
  </si>
  <si>
    <t>玖龍紙業(控股)有限公司</t>
  </si>
  <si>
    <t>2698</t>
  </si>
  <si>
    <t>魏橋紡織股份有限公司</t>
  </si>
  <si>
    <t>2699</t>
  </si>
  <si>
    <t>新明中國控股有限公司</t>
  </si>
  <si>
    <t>2700</t>
  </si>
  <si>
    <t>格林國際控股有限公司</t>
  </si>
  <si>
    <t>2722</t>
  </si>
  <si>
    <t>重慶機電股份有限公司</t>
  </si>
  <si>
    <t>2727</t>
  </si>
  <si>
    <t>上海電氣集團股份有限公司</t>
  </si>
  <si>
    <t>2728</t>
  </si>
  <si>
    <t>裕華能源控股有限公司</t>
  </si>
  <si>
    <t>2738</t>
  </si>
  <si>
    <t>華津國際控股有限公司</t>
  </si>
  <si>
    <t>2768</t>
  </si>
  <si>
    <t>佳源國際控股有限公司</t>
  </si>
  <si>
    <t>廣州富力地產股份有限公司</t>
  </si>
  <si>
    <t>2778</t>
  </si>
  <si>
    <t>冠君產業信託</t>
  </si>
  <si>
    <t>2788</t>
  </si>
  <si>
    <t>精熙國際(開曼)有限公司</t>
  </si>
  <si>
    <t>2789</t>
  </si>
  <si>
    <t>遠大中國控股有限公司</t>
  </si>
  <si>
    <t>2799</t>
  </si>
  <si>
    <t>中國華融資產管理股份有限公司</t>
  </si>
  <si>
    <t>2800</t>
  </si>
  <si>
    <t>盈富基金</t>
  </si>
  <si>
    <t>2801</t>
  </si>
  <si>
    <t>iShares安碩MSCI中國指數ETF</t>
  </si>
  <si>
    <t>2802</t>
  </si>
  <si>
    <t>iShares 安碩MSCI 亞洲新興市場指數ETF</t>
  </si>
  <si>
    <t>2805</t>
  </si>
  <si>
    <t>Vanguard富時亞洲(日本除外)指數</t>
  </si>
  <si>
    <t>2808</t>
  </si>
  <si>
    <t>易方達花期中國國債5-10年期指數ETF</t>
  </si>
  <si>
    <t>2811</t>
  </si>
  <si>
    <t>海通滬深300指數ETF</t>
  </si>
  <si>
    <t>2816</t>
  </si>
  <si>
    <t>db x-trackers滬深 300 地產 UCITS ETF</t>
  </si>
  <si>
    <t>2817</t>
  </si>
  <si>
    <t>標智中證香港上市內地消費指數基金</t>
  </si>
  <si>
    <t>2819</t>
  </si>
  <si>
    <t>ABF香港創富債券指數基金</t>
  </si>
  <si>
    <t>2821</t>
  </si>
  <si>
    <t>沛富基金</t>
  </si>
  <si>
    <t>2822</t>
  </si>
  <si>
    <t>南方富時中國A50 ETF</t>
  </si>
  <si>
    <t>iShares 安碩富時A50中國指數ETF</t>
  </si>
  <si>
    <t>2824</t>
  </si>
  <si>
    <t>力寳專選中港地產ETF</t>
  </si>
  <si>
    <t>2825</t>
  </si>
  <si>
    <t>標智中證香港100 指數基金</t>
  </si>
  <si>
    <t>2827</t>
  </si>
  <si>
    <t>標智滬深300中國指數基金</t>
  </si>
  <si>
    <t>2828</t>
  </si>
  <si>
    <t>恒生H股指數上市基金</t>
  </si>
  <si>
    <t>2832</t>
  </si>
  <si>
    <t>Bosera FTSE China A50 Index ETF</t>
  </si>
  <si>
    <t>2833</t>
  </si>
  <si>
    <t>恒生指數上市基金</t>
  </si>
  <si>
    <t>2834</t>
  </si>
  <si>
    <t>iShares安碩納斯達克100指數ETF</t>
  </si>
  <si>
    <t>2835</t>
  </si>
  <si>
    <t>未來資產KOSPI 200指數ETF</t>
  </si>
  <si>
    <t>2836</t>
  </si>
  <si>
    <t>iShares安碩核心標普BSE SENSEX印度指數 ETF</t>
  </si>
  <si>
    <t>2838</t>
  </si>
  <si>
    <t>恒生富時中國50指數上市基金</t>
  </si>
  <si>
    <t>2839</t>
  </si>
  <si>
    <t>標智中證香港上市內地地產指數基金</t>
  </si>
  <si>
    <t>2840</t>
  </si>
  <si>
    <t>SPDR®金ETF</t>
  </si>
  <si>
    <t>2843</t>
  </si>
  <si>
    <t>東方匯理富時中國A50指數ETF</t>
  </si>
  <si>
    <t>2844</t>
  </si>
  <si>
    <t>db x-trackers滬深金融 UCITS ETF</t>
  </si>
  <si>
    <t>2846</t>
  </si>
  <si>
    <t>iShares安碩核心滬深300指數ETF</t>
  </si>
  <si>
    <t>2847</t>
  </si>
  <si>
    <t>iShares安碩富時100指數ETF</t>
  </si>
  <si>
    <t>2848</t>
  </si>
  <si>
    <t>db x-trackers MSCI 韓國指數 UCITS ETF (DR)</t>
  </si>
  <si>
    <t>2866</t>
  </si>
  <si>
    <t>中遠海運發展股份有限公司</t>
  </si>
  <si>
    <t>2868</t>
  </si>
  <si>
    <t>首創置業股份有限公司</t>
  </si>
  <si>
    <t>2869</t>
  </si>
  <si>
    <t>綠城服務集團有限公司</t>
  </si>
  <si>
    <t>2877</t>
  </si>
  <si>
    <t>中國神威藥業集團有限公司</t>
  </si>
  <si>
    <t>2878</t>
  </si>
  <si>
    <t>Solomon Systech (International) Limited</t>
  </si>
  <si>
    <t>2880</t>
  </si>
  <si>
    <t>大連港股份有限公司</t>
  </si>
  <si>
    <t>2882</t>
  </si>
  <si>
    <t>香港資源控股有限公司</t>
  </si>
  <si>
    <t>2883</t>
  </si>
  <si>
    <t>中海油田服務股份有限公司</t>
  </si>
  <si>
    <t>2886</t>
  </si>
  <si>
    <t>濱海投資有限公司</t>
  </si>
  <si>
    <t>2888</t>
  </si>
  <si>
    <t>渣打集團有限公司</t>
  </si>
  <si>
    <t>2889</t>
  </si>
  <si>
    <t>鎳資源國際控股有限公司</t>
  </si>
  <si>
    <t>2898</t>
  </si>
  <si>
    <t>龍潤茶集團有限公司</t>
  </si>
  <si>
    <t>2899</t>
  </si>
  <si>
    <t>紫金礦業集團股份有限公司</t>
  </si>
  <si>
    <t>3005</t>
  </si>
  <si>
    <t>db x-trackers滬深300工業UCITS ETF</t>
  </si>
  <si>
    <t>3007</t>
  </si>
  <si>
    <t>db x-trackers 富時中國50 UCITS ETF (DR)</t>
  </si>
  <si>
    <t>3008</t>
  </si>
  <si>
    <t>添富共享滬深300指數ETF</t>
  </si>
  <si>
    <t>3009</t>
  </si>
  <si>
    <t>db x-trackers MSCI 新興市場淨值指數 UCITS ETF</t>
  </si>
  <si>
    <t>3010</t>
  </si>
  <si>
    <t>iShares 安碩核心MSCI 亞洲（日本除外）指數ETF</t>
  </si>
  <si>
    <t>3012</t>
  </si>
  <si>
    <t>東方匯理恒生香港35指數ETF</t>
  </si>
  <si>
    <t>3013</t>
  </si>
  <si>
    <t>db x-trackers MSCI亞洲(日本除外)高收益指數UCITS ETF</t>
  </si>
  <si>
    <t>3015</t>
  </si>
  <si>
    <t>db x-trackers NIFTY50印度UCITS ETF</t>
  </si>
  <si>
    <t>3016</t>
  </si>
  <si>
    <t>db x-trackers MSCI菲律賓可投資市場指數UCITS ETF (DR)</t>
  </si>
  <si>
    <t>3017</t>
  </si>
  <si>
    <t>db x-trackers滬深300能源UCITS ETF</t>
  </si>
  <si>
    <t>3019</t>
  </si>
  <si>
    <t>db x-trackers MSCI 環球淨值指數 UCITS ETF</t>
  </si>
  <si>
    <t>3020</t>
  </si>
  <si>
    <t>db x-trackers MSCI 美國淨值指數 UCITS ETF</t>
  </si>
  <si>
    <t>3021</t>
  </si>
  <si>
    <t>南方東英MSCI T50 指數ETF</t>
  </si>
  <si>
    <t>3024</t>
  </si>
  <si>
    <t>標智上證50中國指數基金</t>
  </si>
  <si>
    <t>3025</t>
  </si>
  <si>
    <t>db x-trackers滬深300可選消費UCITS ETF</t>
  </si>
  <si>
    <t>3026</t>
  </si>
  <si>
    <t>db x-trackers II 澳元現金UCITS ETF</t>
  </si>
  <si>
    <t>3027</t>
  </si>
  <si>
    <t>db x-trackers MSCI 俄羅斯權重上限指數 UCITS ETF</t>
  </si>
  <si>
    <t>3035</t>
  </si>
  <si>
    <t>db x-trackers MSCI 新興市場亞洲淨值指數 UCITS ETF</t>
  </si>
  <si>
    <t>3036</t>
  </si>
  <si>
    <t>db x-trackers MSCI 台灣淨值指數UCITS ETF (DR)</t>
  </si>
  <si>
    <t>3040</t>
  </si>
  <si>
    <t>未來資產MSCI 中國 ETF</t>
  </si>
  <si>
    <t>3041</t>
  </si>
  <si>
    <t>價值韓國 ETF</t>
  </si>
  <si>
    <t>3043</t>
  </si>
  <si>
    <t>db x-trackers MSCI 太平洋(日本除外)淨值指數 UCITS ETF (DR)</t>
  </si>
  <si>
    <t>3045</t>
  </si>
  <si>
    <t>db x-trackers MSCI 印度淨值指數 UCITS ETF</t>
  </si>
  <si>
    <t>3046</t>
  </si>
  <si>
    <t>價值中國ETF</t>
  </si>
  <si>
    <t>3048</t>
  </si>
  <si>
    <t>db x-trackers MSCI 巴西指數 UCITS ETF (DR)</t>
  </si>
  <si>
    <t>3049</t>
  </si>
  <si>
    <t>db x-trackers滬深300 UCITS ETF</t>
  </si>
  <si>
    <t>3052</t>
  </si>
  <si>
    <t>db x-trackers滬深300公用事業UCITS ETF</t>
  </si>
  <si>
    <t>3054</t>
  </si>
  <si>
    <t>未來資產標普亞洲新興市場消費指數ETF</t>
  </si>
  <si>
    <t>3055</t>
  </si>
  <si>
    <t>db x-trackers MSCI 中國指數 UCITS ETF (DR)</t>
  </si>
  <si>
    <t>3056</t>
  </si>
  <si>
    <t>未來資產標普國際消費品牌指數ETF</t>
  </si>
  <si>
    <t>3057</t>
  </si>
  <si>
    <t>db x-trackers滬深300醫藥衛生 UCITS ETF</t>
  </si>
  <si>
    <t>3060</t>
  </si>
  <si>
    <t>價值台灣 ETF</t>
  </si>
  <si>
    <t>3061</t>
  </si>
  <si>
    <t>db x-trackers滬深300銀行 UCITS ETF</t>
  </si>
  <si>
    <t>3062</t>
  </si>
  <si>
    <t>db x-trackers滬深300原材料 UCITS ETF</t>
  </si>
  <si>
    <t>3063</t>
  </si>
  <si>
    <t>db x-trackers滬深300運輸 UCITS ETF</t>
  </si>
  <si>
    <t>3065</t>
  </si>
  <si>
    <t>db x-trackers MSCI新加坡可投資市場指數UCITS ETF (DR)</t>
  </si>
  <si>
    <t>3070</t>
  </si>
  <si>
    <t>中國平安CSI香港高息股ETF</t>
  </si>
  <si>
    <t>3073</t>
  </si>
  <si>
    <t>SPDR® 富時® 大中華 ETF</t>
  </si>
  <si>
    <t>3074</t>
  </si>
  <si>
    <t>iShares安碩核心MSCI台灣指數ETF</t>
  </si>
  <si>
    <t>3081</t>
  </si>
  <si>
    <t>價值黃金</t>
  </si>
  <si>
    <t>3082</t>
  </si>
  <si>
    <t>db x-trackers MSCI 馬來西亞指數 UCITS ETF (DR)</t>
  </si>
  <si>
    <t>3084</t>
  </si>
  <si>
    <t>價值日本 ETF</t>
  </si>
  <si>
    <t>3085</t>
  </si>
  <si>
    <t>領航富時亞洲(日本除外)高股息率指數ETF</t>
  </si>
  <si>
    <t>3086</t>
  </si>
  <si>
    <t>BMO 納斯達克100 ETF</t>
  </si>
  <si>
    <t>3087</t>
  </si>
  <si>
    <t>db x-trackers 富時越南 UCITS ETF</t>
  </si>
  <si>
    <t>3092</t>
  </si>
  <si>
    <t>db x-trackers MSCI 泰國指數 UCITS ETF (DR)</t>
  </si>
  <si>
    <t>3095</t>
  </si>
  <si>
    <t>價值中國A股ETF</t>
  </si>
  <si>
    <t>3097</t>
  </si>
  <si>
    <t>未來資產標普原油期貨增強型ER ETF</t>
  </si>
  <si>
    <t>3099</t>
  </si>
  <si>
    <t>db x-trackers MSCI 印尼淨值指數 UCITS ETF</t>
  </si>
  <si>
    <t>3100</t>
  </si>
  <si>
    <t>易方達中證100 A股指數ETF</t>
  </si>
  <si>
    <t>3101</t>
  </si>
  <si>
    <t>領航富時發展歐洲指數ETF</t>
  </si>
  <si>
    <t>3102</t>
  </si>
  <si>
    <t>易亞中信里昂證券收益增長ETF</t>
  </si>
  <si>
    <t>3105</t>
  </si>
  <si>
    <t>db x-trackers MSCII孟加拉可投資市場指數UCITS ETF</t>
  </si>
  <si>
    <t>3106</t>
  </si>
  <si>
    <t>db x-trackers MSCI巴基斯坦可投資市場指數UCITS ETF</t>
  </si>
  <si>
    <t>3107</t>
  </si>
  <si>
    <t>添富共享中証主要消費指數ETF</t>
  </si>
  <si>
    <t>3110</t>
  </si>
  <si>
    <t>未來資產恒生高股息率 ETF</t>
  </si>
  <si>
    <t>3115</t>
  </si>
  <si>
    <t>iShares安碩核心恒生指數ETF</t>
  </si>
  <si>
    <t>3116</t>
  </si>
  <si>
    <t>易亞富時黃金礦業ETF</t>
  </si>
  <si>
    <t>3118</t>
  </si>
  <si>
    <t>嘉實MSCI中國A股指數ETF</t>
  </si>
  <si>
    <t>3120</t>
  </si>
  <si>
    <t>易方達中華交易服務中國120指數ETF</t>
  </si>
  <si>
    <t>3121</t>
  </si>
  <si>
    <t>BMO MSCI 亞太區房地產 ETF</t>
  </si>
  <si>
    <t>3122</t>
  </si>
  <si>
    <t>南方東英中國超短債券指數 ETF</t>
  </si>
  <si>
    <t>3124</t>
  </si>
  <si>
    <t>三星恒指期貨ETF</t>
  </si>
  <si>
    <t>3126</t>
  </si>
  <si>
    <t>領航富時指數ETF</t>
  </si>
  <si>
    <t>3127</t>
  </si>
  <si>
    <t>未來資產滬深 300 ETF</t>
  </si>
  <si>
    <t>3128</t>
  </si>
  <si>
    <t>恒生A股行業龍頭指數ETF</t>
  </si>
  <si>
    <t>3129</t>
  </si>
  <si>
    <t>南方東英滬深 300 精明ETF</t>
  </si>
  <si>
    <t>3132</t>
  </si>
  <si>
    <t>添富共享中証醫藥衛生指數ETF</t>
  </si>
  <si>
    <t>3134</t>
  </si>
  <si>
    <t>三星恒指期貨人民幣外匯ETF</t>
  </si>
  <si>
    <t>3135</t>
  </si>
  <si>
    <t>南方東英WTI原油年度滾動十二月期貨 ER ETF</t>
  </si>
  <si>
    <t>3136</t>
  </si>
  <si>
    <t>嘉實MSCI中國A 50 指數ETF</t>
  </si>
  <si>
    <t>3137</t>
  </si>
  <si>
    <t>南方東英中華A80 ETF</t>
  </si>
  <si>
    <t>3140</t>
  </si>
  <si>
    <t>領航標準普爾500指數</t>
  </si>
  <si>
    <t>3141</t>
  </si>
  <si>
    <t>BMO亞洲美元投資級別債券ETF</t>
  </si>
  <si>
    <t>3143</t>
  </si>
  <si>
    <t>BMO香港銀行股ETF</t>
  </si>
  <si>
    <t>3145</t>
  </si>
  <si>
    <t>BMO亞洲高息股票ETF</t>
  </si>
  <si>
    <t>3146</t>
  </si>
  <si>
    <t>iShares安碩德國DAX指數ETF</t>
  </si>
  <si>
    <t>3147</t>
  </si>
  <si>
    <t>南方東英中國創業板指數ETF</t>
  </si>
  <si>
    <t>3149</t>
  </si>
  <si>
    <t>南方東英MSCI 中國A國際指數ETF</t>
  </si>
  <si>
    <t>3150</t>
  </si>
  <si>
    <t>嘉實中證小盤500指數ETF</t>
  </si>
  <si>
    <t>3153</t>
  </si>
  <si>
    <t>未來資產標普亞洲(日本除外)醫療保健指數ETF</t>
  </si>
  <si>
    <t>3155</t>
  </si>
  <si>
    <t>iShares安碩歐元區STOXX50指數ETF</t>
  </si>
  <si>
    <t>3156</t>
  </si>
  <si>
    <t>廣發國際MSCI中國A股國際指數ETF</t>
  </si>
  <si>
    <t>3157</t>
  </si>
  <si>
    <t>華夏恒生港股通小型股指數ETF</t>
  </si>
  <si>
    <t>3160</t>
  </si>
  <si>
    <t>BMO MSCI 日本股票(美元對沖) ETF</t>
  </si>
  <si>
    <t>3161</t>
  </si>
  <si>
    <t>易亞富時Chimerica ETF</t>
  </si>
  <si>
    <t>3162</t>
  </si>
  <si>
    <t>iShares安碩MSCI中國A股國際指數ETF</t>
  </si>
  <si>
    <t>3165</t>
  </si>
  <si>
    <t>BMO MSCI 歐洲優勢股票(美元對沖) ETF</t>
  </si>
  <si>
    <t>3167</t>
  </si>
  <si>
    <t>南方東英標普中國新經濟行業ETF</t>
  </si>
  <si>
    <t>3170</t>
  </si>
  <si>
    <t>iShares安碩核心韓國綜合指數ETF</t>
  </si>
  <si>
    <t>3171</t>
  </si>
  <si>
    <t>ComStage 1 德國股票指數UCITS ETF</t>
  </si>
  <si>
    <t>3175</t>
  </si>
  <si>
    <t>三星標普高盛原油ER期貨ETF</t>
  </si>
  <si>
    <t>3177</t>
  </si>
  <si>
    <t>ComStage 1 德國高息股票指數UCITS ETF</t>
  </si>
  <si>
    <t>3180</t>
  </si>
  <si>
    <t>華夏中華交易服務中國A80指數ETF</t>
  </si>
  <si>
    <t>3188</t>
  </si>
  <si>
    <t>華夏滬深300指數ETF</t>
  </si>
  <si>
    <t>3199</t>
  </si>
  <si>
    <t>南方東英中國五年期國債ETF</t>
  </si>
  <si>
    <t>3300</t>
  </si>
  <si>
    <t>中國玻璃控股有限公司</t>
  </si>
  <si>
    <t>3301</t>
  </si>
  <si>
    <t>融信中國控股有限公司</t>
  </si>
  <si>
    <t>3303</t>
  </si>
  <si>
    <t>巨濤海洋石油服務有限公司</t>
  </si>
  <si>
    <t>3306</t>
  </si>
  <si>
    <t>江南布衣有限公司</t>
  </si>
  <si>
    <t>3308</t>
  </si>
  <si>
    <t>金鷹商貿集團有限公司</t>
  </si>
  <si>
    <t>3311</t>
  </si>
  <si>
    <t>中國建築國際集團有限公司</t>
  </si>
  <si>
    <t>3313</t>
  </si>
  <si>
    <t>雅高控股有限公司</t>
  </si>
  <si>
    <t>3315</t>
  </si>
  <si>
    <t>金邦達寶嘉控股有限公司</t>
  </si>
  <si>
    <t>3318</t>
  </si>
  <si>
    <t>中國香精香料有限公司</t>
  </si>
  <si>
    <t>3320</t>
  </si>
  <si>
    <t>華潤醫藥集團有限公司</t>
  </si>
  <si>
    <t>3322</t>
  </si>
  <si>
    <t>永嘉集團控股有限公司</t>
  </si>
  <si>
    <t>3323</t>
  </si>
  <si>
    <t>中國建材股份有限公司</t>
  </si>
  <si>
    <t>3326</t>
  </si>
  <si>
    <t>保發集團國際控股有限公司</t>
  </si>
  <si>
    <t>3328</t>
  </si>
  <si>
    <t>交通銀行股份有限公司</t>
  </si>
  <si>
    <t>3329</t>
  </si>
  <si>
    <t>交銀國際控股有限公司</t>
  </si>
  <si>
    <t>3330</t>
  </si>
  <si>
    <t>靈寶黃金集團股份有限公司</t>
  </si>
  <si>
    <t>3331</t>
  </si>
  <si>
    <t>維達國際控股有限公司</t>
  </si>
  <si>
    <t>3332</t>
  </si>
  <si>
    <t>南京中生聯合股份有限公司</t>
  </si>
  <si>
    <t>3333</t>
  </si>
  <si>
    <t>中國恒大集團</t>
  </si>
  <si>
    <t>3335</t>
  </si>
  <si>
    <t>DBA 電訊(亞洲)控股有限公司</t>
  </si>
  <si>
    <t>3336</t>
  </si>
  <si>
    <t>巨騰國際控股有限公司</t>
  </si>
  <si>
    <t>3337</t>
  </si>
  <si>
    <t>安東油田服務集團</t>
  </si>
  <si>
    <t>3339</t>
  </si>
  <si>
    <t>中國龍工控股有限公司</t>
  </si>
  <si>
    <t>3344</t>
  </si>
  <si>
    <t>互益集團有限公司</t>
  </si>
  <si>
    <t>3355</t>
  </si>
  <si>
    <t>上海先進半導體製造股份有限公司</t>
  </si>
  <si>
    <t>3360</t>
  </si>
  <si>
    <t>遠東宏信有限公司</t>
  </si>
  <si>
    <t>3363</t>
  </si>
  <si>
    <t>正業國際控股有限公司</t>
  </si>
  <si>
    <t>3366</t>
  </si>
  <si>
    <t>華僑城（亞洲）控股有限公司</t>
  </si>
  <si>
    <t>3368</t>
  </si>
  <si>
    <t>百盛商業集團有限公司</t>
  </si>
  <si>
    <t>3369</t>
  </si>
  <si>
    <t>秦皇島港股份有限公司</t>
  </si>
  <si>
    <t>3377</t>
  </si>
  <si>
    <t>遠洋集團控股有限公司</t>
  </si>
  <si>
    <t>3378</t>
  </si>
  <si>
    <t>廈門國際港務股份有限公司</t>
  </si>
  <si>
    <t>3380</t>
  </si>
  <si>
    <t>龍光地產控股有限公司</t>
  </si>
  <si>
    <t>3382</t>
  </si>
  <si>
    <t>天津港發展控股有限公司</t>
  </si>
  <si>
    <t>3383</t>
  </si>
  <si>
    <t>雅居樂集團控股有限公司</t>
  </si>
  <si>
    <t>3389</t>
  </si>
  <si>
    <t>亨得利控股有限公司</t>
  </si>
  <si>
    <t>3393</t>
  </si>
  <si>
    <t>威勝集團控股有限公司</t>
  </si>
  <si>
    <t>3395</t>
  </si>
  <si>
    <t>Persta Resources Inc.</t>
  </si>
  <si>
    <t>3396</t>
  </si>
  <si>
    <t>聯想控股股份有限公司</t>
  </si>
  <si>
    <t>3398</t>
  </si>
  <si>
    <t>華鼎集團控股有限公司</t>
  </si>
  <si>
    <t>3399</t>
  </si>
  <si>
    <t>廣東粵運交通股份有限公司</t>
  </si>
  <si>
    <t>3600</t>
  </si>
  <si>
    <t>現代牙科集團有限公司</t>
  </si>
  <si>
    <t>3606</t>
  </si>
  <si>
    <t>福耀玻璃工業集團股份有限公司</t>
  </si>
  <si>
    <t>3608</t>
  </si>
  <si>
    <t>永盛新材料有限公司</t>
  </si>
  <si>
    <t>3618</t>
  </si>
  <si>
    <t>重慶農村商業銀行股份有限公司</t>
  </si>
  <si>
    <t>3623</t>
  </si>
  <si>
    <t>中國金融發展(控股)有限公司</t>
  </si>
  <si>
    <t>3626</t>
  </si>
  <si>
    <t>Hang Sang (Siu Po) International Holding Company Limited</t>
  </si>
  <si>
    <t>3628</t>
  </si>
  <si>
    <t>仁恆實業控股有限公司</t>
  </si>
  <si>
    <t>3633</t>
  </si>
  <si>
    <t>中裕燃氣控股有限公司</t>
  </si>
  <si>
    <t>3636</t>
  </si>
  <si>
    <t>保利文化集團股份有限公司</t>
  </si>
  <si>
    <t>3638</t>
  </si>
  <si>
    <t>華邦金融控股有限公司</t>
  </si>
  <si>
    <t>3639</t>
  </si>
  <si>
    <t>億逹中國控股有限公司</t>
  </si>
  <si>
    <t>3663</t>
  </si>
  <si>
    <t>協眾國際控股有限公司</t>
  </si>
  <si>
    <t>3666</t>
  </si>
  <si>
    <t>國際天食集團有限公司</t>
  </si>
  <si>
    <t>3669</t>
  </si>
  <si>
    <t>中國永達汽車服務控股有限公司</t>
  </si>
  <si>
    <t>3678</t>
  </si>
  <si>
    <t>弘業期貨股份有限公司</t>
  </si>
  <si>
    <t>3683</t>
  </si>
  <si>
    <t>榮豐聯合控股有限公司</t>
  </si>
  <si>
    <t>3686</t>
  </si>
  <si>
    <t>祈福生活服務控股有限公司</t>
  </si>
  <si>
    <t>3688</t>
  </si>
  <si>
    <t>萊蒙國際集團有限公司</t>
  </si>
  <si>
    <t>3689</t>
  </si>
  <si>
    <t>廣東康華醫療股份有限公司</t>
  </si>
  <si>
    <t>3698</t>
  </si>
  <si>
    <t>徽商銀行股份有限公司</t>
  </si>
  <si>
    <t>3708</t>
  </si>
  <si>
    <t>日成控股有限公司</t>
  </si>
  <si>
    <t>3709</t>
  </si>
  <si>
    <t>珂萊蒂爾控股有限公司</t>
  </si>
  <si>
    <t>3737</t>
  </si>
  <si>
    <t>中智藥業控股有限公司</t>
  </si>
  <si>
    <t>3768</t>
  </si>
  <si>
    <t>昆明滇池水務股份有限公司</t>
  </si>
  <si>
    <t>3773</t>
  </si>
  <si>
    <t>年年卡集團有限公司</t>
  </si>
  <si>
    <t>3777</t>
  </si>
  <si>
    <t>中國光纖網絡系統集團有限公司</t>
  </si>
  <si>
    <t>3778</t>
  </si>
  <si>
    <t>中國織材控股有限公司</t>
  </si>
  <si>
    <t>3788</t>
  </si>
  <si>
    <t>中國罕王控股有限公司</t>
  </si>
  <si>
    <t>3789</t>
  </si>
  <si>
    <t>御佳控股有限公司</t>
  </si>
  <si>
    <t>3799</t>
  </si>
  <si>
    <t>達利食品集團有限公司</t>
  </si>
  <si>
    <t>3800</t>
  </si>
  <si>
    <t>保利協鑫能源控股有限公司</t>
  </si>
  <si>
    <t>3808</t>
  </si>
  <si>
    <t>中國重汽(香港)有限公司</t>
  </si>
  <si>
    <t>3813</t>
  </si>
  <si>
    <t>寶勝國際(控股)有限公司</t>
  </si>
  <si>
    <t>3816</t>
  </si>
  <si>
    <t>KFM金德控股有限公司</t>
  </si>
  <si>
    <t>3818</t>
  </si>
  <si>
    <t>中國動向(集團)有限公司</t>
  </si>
  <si>
    <t>3822</t>
  </si>
  <si>
    <t>三和建築集團有限公司</t>
  </si>
  <si>
    <t>3823</t>
  </si>
  <si>
    <t>德普科技發展有限公司</t>
  </si>
  <si>
    <t>3828</t>
  </si>
  <si>
    <t>明輝國際控股有限公司</t>
  </si>
  <si>
    <t>3833</t>
  </si>
  <si>
    <t>新疆新鑫礦業股份有限公司</t>
  </si>
  <si>
    <t>3836</t>
  </si>
  <si>
    <t>中國和諧新能源汽車控股有限公司</t>
  </si>
  <si>
    <t>3838</t>
  </si>
  <si>
    <t>中國澱粉控股有限公司</t>
  </si>
  <si>
    <t>3839</t>
  </si>
  <si>
    <t>正大企業國際有限公司</t>
  </si>
  <si>
    <t>3848</t>
  </si>
  <si>
    <t>富道集團有限公司</t>
  </si>
  <si>
    <t>3866</t>
  </si>
  <si>
    <t>青島銀行股份有限公司</t>
  </si>
  <si>
    <t>3868</t>
  </si>
  <si>
    <t>群星紙業控股有限公司</t>
  </si>
  <si>
    <t>3869</t>
  </si>
  <si>
    <t>弘和仁愛醫療集團有限公司</t>
  </si>
  <si>
    <t>3882</t>
  </si>
  <si>
    <t>天彩控股有限公司</t>
  </si>
  <si>
    <t>3883</t>
  </si>
  <si>
    <t>中國奧園地產集團股份有限公司</t>
  </si>
  <si>
    <t>3886</t>
  </si>
  <si>
    <t>康健國際醫療集團有限公司</t>
  </si>
  <si>
    <t>3888</t>
  </si>
  <si>
    <t>金山軟件有限公司</t>
  </si>
  <si>
    <t>3889</t>
  </si>
  <si>
    <t>大成糖業控股有限公司</t>
  </si>
  <si>
    <t>3893</t>
  </si>
  <si>
    <t>易緯集團控股有限公司</t>
  </si>
  <si>
    <t>3898</t>
  </si>
  <si>
    <t>株洲中車時代電氣股份有限公司</t>
  </si>
  <si>
    <t>3899</t>
  </si>
  <si>
    <t>中集安瑞科控股有限公司</t>
  </si>
  <si>
    <t>3900</t>
  </si>
  <si>
    <t>綠城中國控股有限公司</t>
  </si>
  <si>
    <t>3903</t>
  </si>
  <si>
    <t>瀚華金控股份有限公司</t>
  </si>
  <si>
    <t>3908</t>
  </si>
  <si>
    <t>中國國際金融股份有限公司</t>
  </si>
  <si>
    <t>3918</t>
  </si>
  <si>
    <t>金界控股有限公司</t>
  </si>
  <si>
    <t>3933</t>
  </si>
  <si>
    <t>聯邦制藥國際控股有限公司</t>
  </si>
  <si>
    <t>3939</t>
  </si>
  <si>
    <t>中國傳媒影視控股有限公司</t>
  </si>
  <si>
    <t>3948</t>
  </si>
  <si>
    <t>內蒙古伊泰煤炭股份有限公司</t>
  </si>
  <si>
    <t>3958</t>
  </si>
  <si>
    <t>東方證券</t>
  </si>
  <si>
    <t>3963</t>
  </si>
  <si>
    <t>中國融眾金融控股有限公司</t>
  </si>
  <si>
    <t>3966</t>
  </si>
  <si>
    <t>中國寶豐(國際)有限公司</t>
  </si>
  <si>
    <t>3968</t>
  </si>
  <si>
    <t>招商銀行股份有限公司</t>
  </si>
  <si>
    <t>3969</t>
  </si>
  <si>
    <t>中國鐵路通信信號股份有限公司</t>
  </si>
  <si>
    <t>3983</t>
  </si>
  <si>
    <t>中海石油化學股份有限公司</t>
  </si>
  <si>
    <t>3988</t>
  </si>
  <si>
    <t>中國銀行股份有限公司</t>
  </si>
  <si>
    <t>3989</t>
  </si>
  <si>
    <t>首創環境控股有限公司</t>
  </si>
  <si>
    <t>3993</t>
  </si>
  <si>
    <t>洛陽欒川鉬業集團股份有限公司</t>
  </si>
  <si>
    <t>3996</t>
  </si>
  <si>
    <t>中國能源建設股份有限公司</t>
  </si>
  <si>
    <t>3998</t>
  </si>
  <si>
    <t>波司登國際控股有限公司</t>
  </si>
  <si>
    <t>3999</t>
  </si>
  <si>
    <t>大成食品（亞洲）有限公司</t>
  </si>
  <si>
    <t>4601</t>
  </si>
  <si>
    <t>中國銀行股份有限公司6.75%美元認購和交易非累積優先股</t>
  </si>
  <si>
    <t>4603</t>
  </si>
  <si>
    <t>中國工商銀行股份有限公司美元6.00%非累積、非參與、永續境外優先股</t>
  </si>
  <si>
    <t>4604</t>
  </si>
  <si>
    <t>中國工商銀行股份有限公司歐元6.00%非累積、非參與、永續境外優先股</t>
  </si>
  <si>
    <t>4605</t>
  </si>
  <si>
    <t>交通銀行股份有限公司美元5.00%非累積永續境外優先股</t>
  </si>
  <si>
    <t>4606</t>
  </si>
  <si>
    <t>中國建設銀行股份有限公司美元4.65%非累積永續境外優先股</t>
  </si>
  <si>
    <t>4607</t>
  </si>
  <si>
    <t>中國信達資產管理股份有限公司美元4.45%非累積永續境外優先股</t>
  </si>
  <si>
    <t>4608</t>
  </si>
  <si>
    <t>徽商銀行股份有限公司美元5.50%非累積永續境外優先股</t>
  </si>
  <si>
    <t>4609</t>
  </si>
  <si>
    <t>中國民生銀行股份有限公司美元4.95%非累積永續境外優先股</t>
  </si>
  <si>
    <t>4610</t>
  </si>
  <si>
    <t>浙商銀行股份有限公司美元5.45%非累積永續境外優先股</t>
  </si>
  <si>
    <t>6030</t>
  </si>
  <si>
    <t>中信証券股份有限公司</t>
  </si>
  <si>
    <t>6033</t>
  </si>
  <si>
    <t>電訊數碼控股有限公司</t>
  </si>
  <si>
    <t>6038</t>
  </si>
  <si>
    <t>信越控股有限公司</t>
  </si>
  <si>
    <t>6066</t>
  </si>
  <si>
    <t>中信建投証券股份有限公司</t>
  </si>
  <si>
    <t>6068</t>
  </si>
  <si>
    <t>睿見教育國際控股有限公司</t>
  </si>
  <si>
    <t>6088</t>
  </si>
  <si>
    <t>鴻騰六零八八精密科技股份有限公司</t>
  </si>
  <si>
    <t>6099</t>
  </si>
  <si>
    <t>招商證券股份有限公司</t>
  </si>
  <si>
    <t>6108</t>
  </si>
  <si>
    <t>新銳醫藥國際控股有限公司</t>
  </si>
  <si>
    <t>6113</t>
  </si>
  <si>
    <t>UTS Marketing Solutions Holdings Limited</t>
  </si>
  <si>
    <t>6116</t>
  </si>
  <si>
    <t>上海拉夏貝爾服飾股份有限公司</t>
  </si>
  <si>
    <t>6118</t>
  </si>
  <si>
    <t>奧星生命科技有限公司</t>
  </si>
  <si>
    <t>6122</t>
  </si>
  <si>
    <t>吉林九台農村商業銀行股份有限公司</t>
  </si>
  <si>
    <t>6123</t>
  </si>
  <si>
    <t>先達國際物流控股有限公司</t>
  </si>
  <si>
    <t>6128</t>
  </si>
  <si>
    <t>泛亞環境國際控股有限公司</t>
  </si>
  <si>
    <t>6133</t>
  </si>
  <si>
    <t>維太移動控股有限公司</t>
  </si>
  <si>
    <t>6136</t>
  </si>
  <si>
    <t>康達國際環保有限公司</t>
  </si>
  <si>
    <t>6138</t>
  </si>
  <si>
    <t>哈爾濱銀行股份有限公司</t>
  </si>
  <si>
    <t>6139</t>
  </si>
  <si>
    <t>金茂(中國)酒店投資管理有限公司</t>
  </si>
  <si>
    <t>6161</t>
  </si>
  <si>
    <t>泰加保險(控股)有限公司</t>
  </si>
  <si>
    <t>6163</t>
  </si>
  <si>
    <t>彭順國際有限公司</t>
  </si>
  <si>
    <t>6166</t>
  </si>
  <si>
    <t>中國宏泰產業市鎮發展有限公司</t>
  </si>
  <si>
    <t>6168</t>
  </si>
  <si>
    <t>中國優通控股有限公司</t>
  </si>
  <si>
    <t>6169</t>
  </si>
  <si>
    <t>中國宇華教育集團有限公司</t>
  </si>
  <si>
    <t>6178</t>
  </si>
  <si>
    <t>光大證券股份有限公司</t>
  </si>
  <si>
    <t>6183</t>
  </si>
  <si>
    <t>中國綠寶集團有限公司</t>
  </si>
  <si>
    <t>6188</t>
  </si>
  <si>
    <t>北京迪信通商貿易股份有限公司</t>
  </si>
  <si>
    <t>6189</t>
  </si>
  <si>
    <t>廣東愛得威建設(集團)股份有限公司</t>
  </si>
  <si>
    <t>6196</t>
  </si>
  <si>
    <t>鄭州銀行股份有限公司</t>
  </si>
  <si>
    <t>6198</t>
  </si>
  <si>
    <t>青島港國際股份有限公司</t>
  </si>
  <si>
    <t>6288</t>
  </si>
  <si>
    <t>迅銷有限公司</t>
  </si>
  <si>
    <t>6388</t>
  </si>
  <si>
    <t>Coach, Inc. RS</t>
  </si>
  <si>
    <t>6808</t>
  </si>
  <si>
    <t>高鑫零售有限公司</t>
  </si>
  <si>
    <t>6816</t>
  </si>
  <si>
    <t>瑞港建設控股有限公司</t>
  </si>
  <si>
    <t>6818</t>
  </si>
  <si>
    <t>中國光大銀行股份有限公司</t>
  </si>
  <si>
    <t>6822</t>
  </si>
  <si>
    <t>科勁國際(控股)有限公司</t>
  </si>
  <si>
    <t>6823</t>
  </si>
  <si>
    <t>香港電訊信託與香港電訊有限公司</t>
  </si>
  <si>
    <t>6826</t>
  </si>
  <si>
    <t>上海昊海生物科技股份有限公司</t>
  </si>
  <si>
    <t>6828</t>
  </si>
  <si>
    <t>北京燃氣藍天控股有限公司</t>
  </si>
  <si>
    <t>6830</t>
  </si>
  <si>
    <t>華眾車載控股有限公司</t>
  </si>
  <si>
    <t>6833</t>
  </si>
  <si>
    <t>興科蓉醫葯控股有限公司</t>
  </si>
  <si>
    <t>6836</t>
  </si>
  <si>
    <t>天韵國際控股有限公司</t>
  </si>
  <si>
    <t>6837</t>
  </si>
  <si>
    <t>海通證券股份有限公司</t>
  </si>
  <si>
    <t>6838</t>
  </si>
  <si>
    <t>盈利時控股有限公司</t>
  </si>
  <si>
    <t>6839</t>
  </si>
  <si>
    <t>雲南水務投資股份有限公司</t>
  </si>
  <si>
    <t>6858</t>
  </si>
  <si>
    <t>本間高爾夫有限公司</t>
  </si>
  <si>
    <t>6863</t>
  </si>
  <si>
    <t>中國輝山乳業控股有限公司</t>
  </si>
  <si>
    <t>6865</t>
  </si>
  <si>
    <t>福萊特玻璃集團股份有限公司</t>
  </si>
  <si>
    <t>6866</t>
  </si>
  <si>
    <t>佐力科創小額貸款股份有限公司</t>
  </si>
  <si>
    <t>6868</t>
  </si>
  <si>
    <t>天福(開曼)控股有限公司</t>
  </si>
  <si>
    <t>6869</t>
  </si>
  <si>
    <t>長飛光纖光纜股份有限公司</t>
  </si>
  <si>
    <t>6878</t>
  </si>
  <si>
    <t>鼎豐集團控股有限公司</t>
  </si>
  <si>
    <t>6880</t>
  </si>
  <si>
    <t>騰邦控股有限公司</t>
  </si>
  <si>
    <t>6881</t>
  </si>
  <si>
    <t>中國銀河證券股份有限公司</t>
  </si>
  <si>
    <t>6882</t>
  </si>
  <si>
    <t>東瀛遊控股有限公司</t>
  </si>
  <si>
    <t>6886</t>
  </si>
  <si>
    <t>華泰証券股份有限公司</t>
  </si>
  <si>
    <t>6888</t>
  </si>
  <si>
    <t>英達公路再生科技(集團)有限公司</t>
  </si>
  <si>
    <t>6889</t>
  </si>
  <si>
    <t>DYNAM JAPAN HOLDINGS Co., Ltd.</t>
  </si>
  <si>
    <t>6893</t>
  </si>
  <si>
    <t>衍生集團(國際)控股有限公司</t>
  </si>
  <si>
    <t>6896</t>
  </si>
  <si>
    <t>金嗓子控股集團有限公司</t>
  </si>
  <si>
    <t>6898</t>
  </si>
  <si>
    <t>中國鋁罐控股有限公司</t>
  </si>
  <si>
    <t>6899</t>
  </si>
  <si>
    <t>聯眾國際控股有限公司</t>
  </si>
  <si>
    <t>83168</t>
  </si>
  <si>
    <t>恒生人民幣黃金ETF</t>
  </si>
  <si>
    <t>84602</t>
  </si>
  <si>
    <t>中國工商銀行股份有限公司人民幣6.00%非累積、非參與、永續境外優先股</t>
  </si>
  <si>
    <t>87001</t>
  </si>
  <si>
    <t>匯賢產業信託</t>
  </si>
  <si>
    <t>日期</t>
  </si>
  <si>
    <t>開市</t>
  </si>
  <si>
    <t>最高</t>
  </si>
  <si>
    <t>最低</t>
  </si>
  <si>
    <t>成交量</t>
  </si>
  <si>
    <t>76,000</t>
  </si>
  <si>
    <t>13,000</t>
  </si>
  <si>
    <t>71,000</t>
  </si>
  <si>
    <t>20,000</t>
  </si>
  <si>
    <t>79,000</t>
  </si>
  <si>
    <t>174,000</t>
  </si>
  <si>
    <t>45,000</t>
  </si>
  <si>
    <t>-</t>
  </si>
  <si>
    <t>42,000</t>
  </si>
  <si>
    <t>501,000</t>
  </si>
  <si>
    <t>5,000</t>
  </si>
  <si>
    <t>128,000</t>
  </si>
  <si>
    <t>44,000</t>
  </si>
  <si>
    <t>61,000</t>
  </si>
  <si>
    <t>32,000</t>
  </si>
  <si>
    <t>179,000</t>
  </si>
  <si>
    <t>118,000</t>
  </si>
  <si>
    <t>1,000</t>
  </si>
  <si>
    <t>31,000</t>
  </si>
  <si>
    <t>14,000</t>
  </si>
  <si>
    <t>109,000</t>
  </si>
  <si>
    <t>301,000</t>
  </si>
  <si>
    <t>85,000</t>
  </si>
  <si>
    <t>290,000</t>
  </si>
  <si>
    <t>229,000</t>
  </si>
  <si>
    <t>80,000</t>
  </si>
  <si>
    <t>313,000</t>
  </si>
  <si>
    <t>142,000</t>
  </si>
  <si>
    <t>11,000</t>
  </si>
  <si>
    <t>24,000</t>
  </si>
  <si>
    <t>19,000</t>
  </si>
  <si>
    <t>74,000</t>
  </si>
  <si>
    <t>91,000</t>
  </si>
  <si>
    <t>209,000</t>
  </si>
  <si>
    <t>110,000</t>
  </si>
  <si>
    <t>39,000</t>
  </si>
  <si>
    <t>150,000</t>
  </si>
  <si>
    <t>150,140</t>
  </si>
  <si>
    <t>203,000</t>
  </si>
  <si>
    <t>950,000</t>
  </si>
  <si>
    <t>162,000</t>
  </si>
  <si>
    <t>120,000</t>
  </si>
  <si>
    <t>185,000</t>
  </si>
  <si>
    <t>40,000</t>
  </si>
  <si>
    <t>976,000</t>
  </si>
  <si>
    <t>175,000</t>
  </si>
  <si>
    <t>296,000</t>
  </si>
  <si>
    <t>525,000</t>
  </si>
  <si>
    <t>558,000</t>
  </si>
  <si>
    <t>30,000</t>
  </si>
  <si>
    <t>115,000</t>
  </si>
  <si>
    <t>55,000</t>
  </si>
  <si>
    <t>237,000</t>
  </si>
  <si>
    <t>112,000</t>
  </si>
  <si>
    <t>661,000</t>
  </si>
  <si>
    <t>225,000</t>
  </si>
  <si>
    <t>316,000</t>
  </si>
  <si>
    <t>60,001</t>
  </si>
  <si>
    <t>3,000</t>
  </si>
  <si>
    <t>108,000</t>
  </si>
  <si>
    <t>374,000</t>
  </si>
  <si>
    <t>2,000</t>
  </si>
  <si>
    <t>182,000</t>
  </si>
  <si>
    <t>35,000</t>
  </si>
  <si>
    <t>28,000</t>
  </si>
  <si>
    <t>46,000</t>
  </si>
  <si>
    <t>274,000</t>
  </si>
  <si>
    <t>135,000</t>
  </si>
  <si>
    <t>186,000</t>
  </si>
  <si>
    <t>收市</t>
  </si>
  <si>
    <t>經調整收市價</t>
  </si>
  <si>
    <t>1,228,493</t>
  </si>
  <si>
    <t>4,985,284</t>
  </si>
  <si>
    <t>1,228,360</t>
  </si>
  <si>
    <t>1,188,441</t>
  </si>
  <si>
    <t>1,116,533</t>
  </si>
  <si>
    <t>1,353,746</t>
  </si>
  <si>
    <t>2,056,452</t>
  </si>
  <si>
    <t>1,720,550</t>
  </si>
  <si>
    <t>1,310,190</t>
  </si>
  <si>
    <t>3,439,974</t>
  </si>
  <si>
    <t>1,618,974</t>
  </si>
  <si>
    <t>1,624,516</t>
  </si>
  <si>
    <t>2,629,662</t>
  </si>
  <si>
    <t>2,212,278</t>
  </si>
  <si>
    <t>2,348,522</t>
  </si>
  <si>
    <t>4,111,669</t>
  </si>
  <si>
    <t>2,955,387</t>
  </si>
  <si>
    <t>3,523,866</t>
  </si>
  <si>
    <t>3,446,505</t>
  </si>
  <si>
    <t>4,550,335</t>
  </si>
  <si>
    <t>10,148,229</t>
  </si>
  <si>
    <t>12,612,085</t>
  </si>
  <si>
    <t>37,908,233</t>
  </si>
  <si>
    <t>7,984,129</t>
  </si>
  <si>
    <t>2,545,000</t>
  </si>
  <si>
    <t>1,840,196</t>
  </si>
  <si>
    <t>3,853,339</t>
  </si>
  <si>
    <t>4,134,885</t>
  </si>
  <si>
    <t>6,193,975</t>
  </si>
  <si>
    <t>2,513,487</t>
  </si>
  <si>
    <t>1,706,063</t>
  </si>
  <si>
    <t>1,830,160</t>
  </si>
  <si>
    <t>3,502,974</t>
  </si>
  <si>
    <t>1,696,000</t>
  </si>
  <si>
    <t>2,139,000</t>
  </si>
  <si>
    <t>4,452,815</t>
  </si>
  <si>
    <t>3,852,949</t>
  </si>
  <si>
    <t>1,356,360</t>
  </si>
  <si>
    <t>932,545</t>
  </si>
  <si>
    <t>1,015,046</t>
  </si>
  <si>
    <t>1,109,500</t>
  </si>
  <si>
    <t>910,773</t>
  </si>
  <si>
    <t>974,000</t>
  </si>
  <si>
    <t>1,391,870</t>
  </si>
  <si>
    <t>1,150,140</t>
  </si>
  <si>
    <t>1,652,657</t>
  </si>
  <si>
    <t>1,023,314</t>
  </si>
  <si>
    <t>1,620,014</t>
  </si>
  <si>
    <t>2,232,349</t>
  </si>
  <si>
    <t>2,684,939</t>
  </si>
  <si>
    <t>3,304,405</t>
  </si>
  <si>
    <t>2,067,170</t>
  </si>
  <si>
    <t>1,615,057</t>
  </si>
  <si>
    <t>1,100,000</t>
  </si>
  <si>
    <t>1,683,777</t>
  </si>
  <si>
    <t>2,806,300</t>
  </si>
  <si>
    <t>1,129,195</t>
  </si>
  <si>
    <t>2,319,919</t>
  </si>
  <si>
    <t>3,904,422</t>
  </si>
  <si>
    <t>1,042,802</t>
  </si>
  <si>
    <t>1,377,206</t>
  </si>
  <si>
    <t>1,394,848</t>
  </si>
  <si>
    <t>873,923</t>
  </si>
  <si>
    <t>502,896</t>
  </si>
  <si>
    <t>557,500</t>
  </si>
  <si>
    <t>596,554</t>
  </si>
  <si>
    <t>805,000</t>
  </si>
  <si>
    <t>1,015,000</t>
  </si>
  <si>
    <t>1,050,759</t>
  </si>
  <si>
    <t>1,775,147</t>
  </si>
  <si>
    <t>558,309</t>
  </si>
  <si>
    <t>955,000</t>
  </si>
  <si>
    <t>833,500</t>
  </si>
  <si>
    <t>1,183,000</t>
  </si>
  <si>
    <t>1,106,000</t>
  </si>
  <si>
    <t>1,643,431</t>
  </si>
  <si>
    <t>796,990</t>
  </si>
  <si>
    <t>865,600</t>
  </si>
  <si>
    <t>774,738</t>
  </si>
  <si>
    <t>668,900</t>
  </si>
  <si>
    <t>1,219,050</t>
  </si>
  <si>
    <t>1,866,253</t>
  </si>
  <si>
    <t>1,750,091</t>
  </si>
  <si>
    <t>7,100,827</t>
  </si>
  <si>
    <t>11,533,842</t>
  </si>
  <si>
    <t>9,400,029</t>
  </si>
  <si>
    <t>7,206,919</t>
  </si>
  <si>
    <t>8,099,590</t>
  </si>
  <si>
    <t>11,701,052</t>
  </si>
  <si>
    <t>13,109,055</t>
  </si>
  <si>
    <t>8,692,415</t>
  </si>
  <si>
    <t>21,535,592</t>
  </si>
  <si>
    <t>10,982,633</t>
  </si>
  <si>
    <t>23,228,451</t>
  </si>
  <si>
    <t>10,383,760</t>
  </si>
  <si>
    <t>13,673,191</t>
  </si>
  <si>
    <t>12,345,603</t>
  </si>
  <si>
    <t>12,597,204</t>
  </si>
  <si>
    <t>18,951,198</t>
  </si>
  <si>
    <t>12,941,924</t>
  </si>
  <si>
    <t>12,282,835</t>
  </si>
  <si>
    <t>14,241,178</t>
  </si>
  <si>
    <t>13,440,833</t>
  </si>
  <si>
    <t>8,603,228</t>
  </si>
  <si>
    <t>20,085,730</t>
  </si>
  <si>
    <t>12,544,953</t>
  </si>
  <si>
    <t>8,841,410</t>
  </si>
  <si>
    <t>12,653,264</t>
  </si>
  <si>
    <t>11,741,983</t>
  </si>
  <si>
    <t>16,438,782</t>
  </si>
  <si>
    <t>25,557,701</t>
  </si>
  <si>
    <t>27,739,160</t>
  </si>
  <si>
    <t>21,989,655</t>
  </si>
  <si>
    <t>28,981,691</t>
  </si>
  <si>
    <t>34,681,705</t>
  </si>
  <si>
    <t>34,171,053</t>
  </si>
  <si>
    <t>38,597,869</t>
  </si>
  <si>
    <t>26,112,993</t>
  </si>
  <si>
    <t>24,546,617</t>
  </si>
  <si>
    <t>28,299,297</t>
  </si>
  <si>
    <t>22,263,271</t>
  </si>
  <si>
    <t>37,575,582</t>
  </si>
  <si>
    <t>32,228,491</t>
  </si>
  <si>
    <t>72,203,233</t>
  </si>
  <si>
    <t>74,801,917</t>
  </si>
  <si>
    <t>27,910,494</t>
  </si>
  <si>
    <t>54,611,225</t>
  </si>
  <si>
    <t>36,822,601</t>
  </si>
  <si>
    <t>28,564,647</t>
  </si>
  <si>
    <t>19,714,510</t>
  </si>
  <si>
    <t>20,376,035</t>
  </si>
  <si>
    <t>18,113,753</t>
  </si>
  <si>
    <t>19,700,756</t>
  </si>
  <si>
    <t>24,285,873</t>
  </si>
  <si>
    <t>12,228,393</t>
  </si>
  <si>
    <t>12,766,604</t>
  </si>
  <si>
    <t>13,003,193</t>
  </si>
  <si>
    <t>10,685,103</t>
  </si>
  <si>
    <t>15,418,676</t>
  </si>
  <si>
    <t>15,290,576</t>
  </si>
  <si>
    <t>19,593,140</t>
  </si>
  <si>
    <t>33,869,551</t>
  </si>
  <si>
    <t>16,049,201</t>
  </si>
  <si>
    <t>15,715,145</t>
  </si>
  <si>
    <t>21,743,937</t>
  </si>
  <si>
    <t>48,022,833</t>
  </si>
  <si>
    <t>18,864,481</t>
  </si>
  <si>
    <t>146,114,143</t>
  </si>
  <si>
    <t>29,781,666</t>
  </si>
  <si>
    <t>14,865,762</t>
  </si>
  <si>
    <t>25,409,204</t>
  </si>
  <si>
    <t>10,469,064</t>
  </si>
  <si>
    <t>18,103,291</t>
  </si>
  <si>
    <t>26,285,211</t>
  </si>
  <si>
    <t>209,627,178</t>
  </si>
  <si>
    <t>35,518,588</t>
  </si>
  <si>
    <t>23,738,081</t>
  </si>
  <si>
    <t>76,061,055</t>
  </si>
  <si>
    <t>33,294,869</t>
  </si>
  <si>
    <t>24,949,560</t>
  </si>
  <si>
    <t>47,813,680</t>
  </si>
  <si>
    <t>46,837,474</t>
  </si>
  <si>
    <t>25,843,501</t>
  </si>
  <si>
    <t>30,704,202</t>
  </si>
  <si>
    <t>51,173,816</t>
  </si>
  <si>
    <t>26,821,826</t>
  </si>
  <si>
    <t>9,349,398</t>
  </si>
  <si>
    <t>16,333,828</t>
  </si>
  <si>
    <t>8,406,063</t>
  </si>
  <si>
    <t>8,806,728</t>
  </si>
  <si>
    <t>13,528,512</t>
  </si>
  <si>
    <t>49,881,500</t>
  </si>
  <si>
    <t>11,797,356</t>
  </si>
  <si>
    <t>11,320,393</t>
  </si>
  <si>
    <t>6,320,000</t>
  </si>
  <si>
    <t>6,968,333</t>
  </si>
  <si>
    <t>11,741,524</t>
  </si>
  <si>
    <t>14,083,909</t>
  </si>
  <si>
    <t>12,665,007</t>
  </si>
  <si>
    <t>5,635,681</t>
  </si>
  <si>
    <t>4,903,340</t>
  </si>
  <si>
    <t>6,723,165</t>
  </si>
  <si>
    <t>12,470,834</t>
  </si>
  <si>
    <t>16,157,000</t>
  </si>
  <si>
    <t>4,252,832</t>
  </si>
  <si>
    <t>11,659,345</t>
  </si>
  <si>
    <t>10,714,660</t>
  </si>
  <si>
    <t>7,664,531</t>
  </si>
  <si>
    <t>8,600,934</t>
  </si>
  <si>
    <t>6,312,985</t>
  </si>
  <si>
    <t>6,209,930</t>
  </si>
  <si>
    <t>12,123,000</t>
  </si>
  <si>
    <t>22,590,491</t>
  </si>
  <si>
    <t>8,056,302</t>
  </si>
  <si>
    <t>7,807,346</t>
  </si>
  <si>
    <t>8,982,277</t>
  </si>
  <si>
    <t>12,208,272</t>
  </si>
  <si>
    <t>11,946,310</t>
  </si>
  <si>
    <t>5,808,448</t>
  </si>
  <si>
    <t>7,370,284</t>
  </si>
  <si>
    <t>7,744,100</t>
  </si>
  <si>
    <t>10,024,146</t>
  </si>
  <si>
    <t>16,153,574</t>
  </si>
  <si>
    <t>7,066,696</t>
  </si>
  <si>
    <t>8,397,994</t>
  </si>
  <si>
    <t>12,654,019</t>
  </si>
  <si>
    <t>18,884,584</t>
  </si>
  <si>
    <t>26,497,016</t>
  </si>
  <si>
    <t>11,102,480</t>
  </si>
  <si>
    <t>13,122,522</t>
  </si>
  <si>
    <t>21,807,203</t>
  </si>
  <si>
    <t>6,266,920</t>
  </si>
  <si>
    <t>9,982,844</t>
  </si>
  <si>
    <t>8,642,499</t>
  </si>
  <si>
    <t>10,769,147</t>
  </si>
  <si>
    <t>14,227,106</t>
  </si>
  <si>
    <t>12,392,039</t>
  </si>
  <si>
    <t>6,783,000</t>
  </si>
  <si>
    <t>10,459,672</t>
  </si>
  <si>
    <t>4,231,866</t>
  </si>
  <si>
    <t>12,518,079</t>
  </si>
  <si>
    <t>28,498,054</t>
  </si>
  <si>
    <t>11,420,000</t>
  </si>
  <si>
    <t>4,432,284</t>
  </si>
  <si>
    <t>13,717,355</t>
  </si>
  <si>
    <t>8,412,807</t>
  </si>
  <si>
    <t>11,151,252</t>
  </si>
  <si>
    <t>8,419,000</t>
  </si>
  <si>
    <t>6,308,595</t>
  </si>
  <si>
    <t>9,052,824</t>
  </si>
  <si>
    <t>12,851,883</t>
  </si>
  <si>
    <t>13,132,620</t>
  </si>
  <si>
    <t>13,416,338</t>
  </si>
  <si>
    <t>27,920,587</t>
  </si>
  <si>
    <t>12,431,958</t>
  </si>
  <si>
    <t>17,788,539</t>
  </si>
  <si>
    <t>11,674,252</t>
  </si>
  <si>
    <t>21,593,157</t>
  </si>
  <si>
    <t>29,841,652</t>
  </si>
  <si>
    <t>9,667,415</t>
  </si>
  <si>
    <t>10,939,035</t>
  </si>
  <si>
    <t>7,802,937</t>
  </si>
  <si>
    <t>9,553,026</t>
  </si>
  <si>
    <t>20,148,186</t>
  </si>
  <si>
    <t>13,144,317</t>
  </si>
  <si>
    <t>8,110,000</t>
  </si>
  <si>
    <t>17,189,249</t>
  </si>
  <si>
    <t>22,128,745</t>
  </si>
  <si>
    <t>36,192,574</t>
  </si>
  <si>
    <t>8,138,255</t>
  </si>
  <si>
    <t>9,585,313</t>
  </si>
  <si>
    <t>5,574,910</t>
  </si>
  <si>
    <t>7,409,999</t>
  </si>
  <si>
    <t>7,583,157</t>
  </si>
  <si>
    <t>7,240,118</t>
  </si>
  <si>
    <t>3,708,325</t>
  </si>
  <si>
    <t>4,413,200</t>
  </si>
  <si>
    <t>3,277,207</t>
  </si>
  <si>
    <t>3,920,389</t>
  </si>
  <si>
    <t>3,857,195</t>
  </si>
  <si>
    <t>2,052,916</t>
  </si>
  <si>
    <t>4,915,378</t>
  </si>
  <si>
    <t>3,643,498</t>
  </si>
  <si>
    <t>6,060,687</t>
  </si>
  <si>
    <t>15,096,099</t>
  </si>
  <si>
    <t>5,707,000</t>
  </si>
  <si>
    <t>10,523,359</t>
  </si>
  <si>
    <t>5,074,808</t>
  </si>
  <si>
    <t>6,979,167</t>
  </si>
  <si>
    <t>21,320,808</t>
  </si>
  <si>
    <t>11,802,808</t>
  </si>
  <si>
    <t>12,560,615</t>
  </si>
  <si>
    <t>2,202,500</t>
  </si>
  <si>
    <t>4,748,000</t>
  </si>
  <si>
    <t>2,563,000</t>
  </si>
  <si>
    <t>3,962,713</t>
  </si>
  <si>
    <t>3,958,000</t>
  </si>
  <si>
    <t>7,878,000</t>
  </si>
  <si>
    <t>1,608,000</t>
  </si>
  <si>
    <t>3,646,936</t>
  </si>
  <si>
    <t>2,701,000</t>
  </si>
  <si>
    <t>3,579,000</t>
  </si>
  <si>
    <t>7,606,000</t>
  </si>
  <si>
    <t>2,610,000</t>
  </si>
  <si>
    <t>4,985,000</t>
  </si>
  <si>
    <t>2,505,000</t>
  </si>
  <si>
    <t>2,130,000</t>
  </si>
  <si>
    <t>7,040,477</t>
  </si>
  <si>
    <t>6,066,126</t>
  </si>
  <si>
    <t>7,742,000</t>
  </si>
  <si>
    <t>5,327,000</t>
  </si>
  <si>
    <t>2,380,000</t>
  </si>
  <si>
    <t>2,737,000</t>
  </si>
  <si>
    <t>5,904,424</t>
  </si>
  <si>
    <t>8,592,800</t>
  </si>
  <si>
    <t>2,726,838</t>
  </si>
  <si>
    <t>3,566,674</t>
  </si>
  <si>
    <t>2,702,762</t>
  </si>
  <si>
    <t>2,921,000</t>
  </si>
  <si>
    <t>3,966,000</t>
  </si>
  <si>
    <t>3,221,000</t>
  </si>
  <si>
    <t>2,638,000</t>
  </si>
  <si>
    <t>6,511,000</t>
  </si>
  <si>
    <t>7,015,000</t>
  </si>
  <si>
    <t>3,881,000</t>
  </si>
  <si>
    <t>4,545,000</t>
  </si>
  <si>
    <t>686,000</t>
  </si>
  <si>
    <t>5,067,000</t>
  </si>
  <si>
    <t>5,460,000</t>
  </si>
  <si>
    <t>10,539,000</t>
  </si>
  <si>
    <t>18,799,000</t>
  </si>
  <si>
    <t>5,241,438</t>
  </si>
  <si>
    <t>4,702,000</t>
  </si>
  <si>
    <t>5,701,000</t>
  </si>
  <si>
    <t>7,084,570</t>
  </si>
  <si>
    <t>6,243,000</t>
  </si>
  <si>
    <t>19,866,000</t>
  </si>
  <si>
    <t>7,669,000</t>
  </si>
  <si>
    <t>4,502,000</t>
  </si>
  <si>
    <t>3,809,100</t>
  </si>
  <si>
    <t>11,578,960</t>
  </si>
  <si>
    <t>4,568,000</t>
  </si>
  <si>
    <t>9,686,000</t>
  </si>
  <si>
    <t>5,738,000</t>
  </si>
  <si>
    <t>6,541,000</t>
  </si>
  <si>
    <t>4,044,000</t>
  </si>
  <si>
    <t>4,439,000</t>
  </si>
  <si>
    <t>16,272,000</t>
  </si>
  <si>
    <t>6,501,000</t>
  </si>
  <si>
    <t>19,372,000</t>
  </si>
  <si>
    <t>17,086,000</t>
  </si>
  <si>
    <t>19,104,999</t>
  </si>
  <si>
    <t>342,000</t>
  </si>
  <si>
    <t>265,000</t>
  </si>
  <si>
    <t>1,896,000</t>
  </si>
  <si>
    <t>369,000</t>
  </si>
  <si>
    <t>260,000</t>
  </si>
  <si>
    <t>155,000</t>
  </si>
  <si>
    <t>208,000</t>
  </si>
  <si>
    <t>165,000</t>
  </si>
  <si>
    <t>232,000</t>
  </si>
  <si>
    <t>458,000</t>
  </si>
  <si>
    <t>261,765</t>
  </si>
  <si>
    <t>527,000</t>
  </si>
  <si>
    <t>267,000</t>
  </si>
  <si>
    <t>307,000</t>
  </si>
  <si>
    <t>145,494</t>
  </si>
  <si>
    <t>312,000</t>
  </si>
  <si>
    <t>106,000</t>
  </si>
  <si>
    <t>351,000</t>
  </si>
  <si>
    <t>323,232</t>
  </si>
  <si>
    <t>87,499</t>
  </si>
  <si>
    <t>98,000</t>
  </si>
  <si>
    <t>166,000</t>
  </si>
  <si>
    <t>327,000</t>
  </si>
  <si>
    <t>620,000</t>
  </si>
  <si>
    <t>639,000</t>
  </si>
  <si>
    <t>491,000</t>
  </si>
  <si>
    <t>791,000</t>
  </si>
  <si>
    <t>92,000</t>
  </si>
  <si>
    <t>16,000</t>
  </si>
  <si>
    <t>1,063,000</t>
  </si>
  <si>
    <t>2,178,000</t>
  </si>
  <si>
    <t>173,070</t>
  </si>
  <si>
    <t>498,000</t>
  </si>
  <si>
    <t>1,006,000</t>
  </si>
  <si>
    <t>2,348,000</t>
  </si>
  <si>
    <t>338,000</t>
  </si>
  <si>
    <t>470,000</t>
  </si>
  <si>
    <t>778,000</t>
  </si>
  <si>
    <t>193,000</t>
  </si>
  <si>
    <t>572,000</t>
  </si>
  <si>
    <t>181,288</t>
  </si>
  <si>
    <t>979,000</t>
  </si>
  <si>
    <t>589,000</t>
  </si>
  <si>
    <t>545,000</t>
  </si>
  <si>
    <t>2,381,800</t>
  </si>
  <si>
    <t>2,782,500</t>
  </si>
  <si>
    <t>1,581,000</t>
  </si>
  <si>
    <t>2,020,000</t>
  </si>
  <si>
    <t>701,000</t>
  </si>
  <si>
    <t>395,000</t>
  </si>
  <si>
    <t>1,250,000</t>
  </si>
  <si>
    <t>5,622,000</t>
  </si>
  <si>
    <t>341,000</t>
  </si>
  <si>
    <t>408,000</t>
  </si>
  <si>
    <t>1,101,000</t>
  </si>
  <si>
    <t>375,000</t>
  </si>
  <si>
    <t>445,000</t>
  </si>
  <si>
    <t>2,213,000</t>
  </si>
  <si>
    <t>2,524,000</t>
  </si>
  <si>
    <t>3,069,000</t>
  </si>
  <si>
    <t>4,570,576</t>
  </si>
  <si>
    <t>4,476,000</t>
  </si>
  <si>
    <t>3,616,000</t>
  </si>
  <si>
    <t>484,000</t>
  </si>
  <si>
    <t>450,000</t>
  </si>
  <si>
    <t>1,379,000</t>
  </si>
  <si>
    <t>172,000</t>
  </si>
  <si>
    <t>1,933,000</t>
  </si>
  <si>
    <t>17,898,000</t>
  </si>
  <si>
    <t>743,000</t>
  </si>
  <si>
    <t>1,171,665</t>
  </si>
  <si>
    <t>2,386,000</t>
  </si>
  <si>
    <t>359,500</t>
  </si>
  <si>
    <t>618,000</t>
  </si>
  <si>
    <t>277,271</t>
  </si>
  <si>
    <t>1,633,000</t>
  </si>
  <si>
    <t>2,949,779</t>
  </si>
  <si>
    <t>5,859,463</t>
  </si>
  <si>
    <t>4,675,727</t>
  </si>
  <si>
    <t>3,486,000</t>
  </si>
  <si>
    <t>2,439,972</t>
  </si>
  <si>
    <t>3,770,000</t>
  </si>
  <si>
    <t>4,777,696</t>
  </si>
  <si>
    <t>3,541,020</t>
  </si>
  <si>
    <t>3,927,639</t>
  </si>
  <si>
    <t>2,507,829</t>
  </si>
  <si>
    <t>2,540,714</t>
  </si>
  <si>
    <t>1,595,013</t>
  </si>
  <si>
    <t>2,436,686</t>
  </si>
  <si>
    <t>2,837,757</t>
  </si>
  <si>
    <t>2,421,300</t>
  </si>
  <si>
    <t>16,636,011</t>
  </si>
  <si>
    <t>989,907</t>
  </si>
  <si>
    <t>7,889,019</t>
  </si>
  <si>
    <t>2,512,211</t>
  </si>
  <si>
    <t>1,860,011</t>
  </si>
  <si>
    <t>2,136,649</t>
  </si>
  <si>
    <t>1,204,370</t>
  </si>
  <si>
    <t>3,874,742</t>
  </si>
  <si>
    <t>2,396,910</t>
  </si>
  <si>
    <t>1,578,391</t>
  </si>
  <si>
    <t>1,406,997</t>
  </si>
  <si>
    <t>1,239,797</t>
  </si>
  <si>
    <t>1,143,774</t>
  </si>
  <si>
    <t>3,201,097</t>
  </si>
  <si>
    <t>1,546,024</t>
  </si>
  <si>
    <t>886,249</t>
  </si>
  <si>
    <t>3,444,000</t>
  </si>
  <si>
    <t>1,681,132</t>
  </si>
  <si>
    <t>2,880,694</t>
  </si>
  <si>
    <t>3,593,876</t>
  </si>
  <si>
    <t>2,603,853</t>
  </si>
  <si>
    <t>5,902,534</t>
  </si>
  <si>
    <t>1,137,460</t>
  </si>
  <si>
    <t>3,408,962</t>
  </si>
  <si>
    <t>1,727,854</t>
  </si>
  <si>
    <t>8,889,701</t>
  </si>
  <si>
    <t>6,141,266</t>
  </si>
  <si>
    <t>966,568</t>
  </si>
  <si>
    <t>1,951,825</t>
  </si>
  <si>
    <t>3,027,284</t>
  </si>
  <si>
    <t>3,243,466</t>
  </si>
  <si>
    <t>1,770,108</t>
  </si>
  <si>
    <t>1,309,317</t>
  </si>
  <si>
    <t>1,114,372</t>
  </si>
  <si>
    <t>7,517,780</t>
  </si>
  <si>
    <t>14,187,794</t>
  </si>
  <si>
    <t>1,541,723</t>
  </si>
  <si>
    <t>4,489,707</t>
  </si>
  <si>
    <t>2,284,995</t>
  </si>
  <si>
    <t>4,881,969</t>
  </si>
  <si>
    <t>4,944,577</t>
  </si>
  <si>
    <t>4,884,607</t>
  </si>
  <si>
    <t>1,860,182</t>
  </si>
  <si>
    <t>1,728,464</t>
  </si>
  <si>
    <t>3,164,699</t>
  </si>
  <si>
    <t>3,619,212</t>
  </si>
  <si>
    <t>2,778,469</t>
  </si>
  <si>
    <t>903,536</t>
  </si>
  <si>
    <t>2,661,704</t>
  </si>
  <si>
    <t>2,523,623</t>
  </si>
  <si>
    <t>3,394,408</t>
  </si>
  <si>
    <t>1,057,062</t>
  </si>
  <si>
    <t>2,354,000</t>
  </si>
  <si>
    <t>1,837,838</t>
  </si>
  <si>
    <t>3,783,450</t>
  </si>
  <si>
    <t>3,822,226</t>
  </si>
  <si>
    <t>3,488,000</t>
  </si>
  <si>
    <t>3,322,000</t>
  </si>
  <si>
    <t>3,542,226</t>
  </si>
  <si>
    <t>1,478,287</t>
  </si>
  <si>
    <t>3,519,016</t>
  </si>
  <si>
    <t>2,744,350</t>
  </si>
  <si>
    <t>3,230,307</t>
  </si>
  <si>
    <t>1,680,000</t>
  </si>
  <si>
    <t>2,045,390</t>
  </si>
  <si>
    <t>4,220,040</t>
  </si>
  <si>
    <t>3,131,072</t>
  </si>
  <si>
    <t>2,032,620</t>
  </si>
  <si>
    <t>854,000</t>
  </si>
  <si>
    <t>442,000</t>
  </si>
  <si>
    <t>130,000</t>
  </si>
  <si>
    <t>284,000</t>
  </si>
  <si>
    <t>581,800</t>
  </si>
  <si>
    <t>1,408,000</t>
  </si>
  <si>
    <t>624,000</t>
  </si>
  <si>
    <t>3,952,000</t>
  </si>
  <si>
    <t>1,568,000</t>
  </si>
  <si>
    <t>1,496,000</t>
  </si>
  <si>
    <t>1,212,000</t>
  </si>
  <si>
    <t>1,061,040</t>
  </si>
  <si>
    <t>730,000</t>
  </si>
  <si>
    <t>864,000</t>
  </si>
  <si>
    <t>548,000</t>
  </si>
  <si>
    <t>358,000</t>
  </si>
  <si>
    <t>938,000</t>
  </si>
  <si>
    <t>1,766,000</t>
  </si>
  <si>
    <t>540,000</t>
  </si>
  <si>
    <t>460,000</t>
  </si>
  <si>
    <t>806,000</t>
  </si>
  <si>
    <t>1,976,000</t>
  </si>
  <si>
    <t>2,082,000</t>
  </si>
  <si>
    <t>914,000</t>
  </si>
  <si>
    <t>1,544,000</t>
  </si>
  <si>
    <t>3,632,000</t>
  </si>
  <si>
    <t>8,418,000</t>
  </si>
  <si>
    <t>464,000</t>
  </si>
  <si>
    <t>520,000</t>
  </si>
  <si>
    <t>430,000</t>
  </si>
  <si>
    <t>462,000</t>
  </si>
  <si>
    <t>474,000</t>
  </si>
  <si>
    <t>986,686</t>
  </si>
  <si>
    <t>774,000</t>
  </si>
  <si>
    <t>603,340</t>
  </si>
  <si>
    <t>876,000</t>
  </si>
  <si>
    <t>1,044,000</t>
  </si>
  <si>
    <t>1,374,000</t>
  </si>
  <si>
    <t>692,000</t>
  </si>
  <si>
    <t>700,000</t>
  </si>
  <si>
    <t>1,686,000</t>
  </si>
  <si>
    <t>862,000</t>
  </si>
  <si>
    <t>390,000</t>
  </si>
  <si>
    <t>238,000</t>
  </si>
  <si>
    <t>1,300,690</t>
  </si>
  <si>
    <t>878,000</t>
  </si>
  <si>
    <t>414,000</t>
  </si>
  <si>
    <t>1,506,000</t>
  </si>
  <si>
    <t>310,000</t>
  </si>
  <si>
    <t>1,142,000</t>
  </si>
  <si>
    <t>763,999</t>
  </si>
  <si>
    <t>762,000</t>
  </si>
  <si>
    <t>2,504,000</t>
  </si>
  <si>
    <t>6,870,000</t>
  </si>
  <si>
    <t>4,031,000</t>
  </si>
  <si>
    <t>1,326,000</t>
  </si>
  <si>
    <t>815,380</t>
  </si>
  <si>
    <t>330,000</t>
  </si>
  <si>
    <t>242,911</t>
  </si>
  <si>
    <t>300,000</t>
  </si>
  <si>
    <t>1,928,000</t>
  </si>
  <si>
    <t>214,000</t>
  </si>
  <si>
    <t>640,000</t>
  </si>
  <si>
    <t>739,677</t>
  </si>
  <si>
    <t>680,000</t>
  </si>
  <si>
    <t>266,000</t>
  </si>
  <si>
    <t>718,000</t>
  </si>
  <si>
    <t>396,000</t>
  </si>
  <si>
    <t>418,000</t>
  </si>
  <si>
    <t>224,000</t>
  </si>
  <si>
    <t>7,524,500</t>
  </si>
  <si>
    <t>6,171,000</t>
  </si>
  <si>
    <t>9,851,120</t>
  </si>
  <si>
    <t>29,234,201</t>
  </si>
  <si>
    <t>4,005,286</t>
  </si>
  <si>
    <t>12,156,500</t>
  </si>
  <si>
    <t>9,049,000</t>
  </si>
  <si>
    <t>14,376,000</t>
  </si>
  <si>
    <t>3,991,500</t>
  </si>
  <si>
    <t>6,705,912</t>
  </si>
  <si>
    <t>6,749,500</t>
  </si>
  <si>
    <t>4,720,000</t>
  </si>
  <si>
    <t>4,759,500</t>
  </si>
  <si>
    <t>4,621,800</t>
  </si>
  <si>
    <t>6,482,145</t>
  </si>
  <si>
    <t>10,417,500</t>
  </si>
  <si>
    <t>12,191,500</t>
  </si>
  <si>
    <t>4,916,830</t>
  </si>
  <si>
    <t>4,995,230</t>
  </si>
  <si>
    <t>5,336,500</t>
  </si>
  <si>
    <t>4,869,285</t>
  </si>
  <si>
    <t>3,727,500</t>
  </si>
  <si>
    <t>6,882,500</t>
  </si>
  <si>
    <t>5,475,422</t>
  </si>
  <si>
    <t>7,659,075</t>
  </si>
  <si>
    <t>7,425,418</t>
  </si>
  <si>
    <t>4,700,000</t>
  </si>
  <si>
    <t>5,008,724</t>
  </si>
  <si>
    <t>3,820,540</t>
  </si>
  <si>
    <t>5,429,000</t>
  </si>
  <si>
    <t>6,022,538</t>
  </si>
  <si>
    <t>6,559,560</t>
  </si>
  <si>
    <t>2,365,200</t>
  </si>
  <si>
    <t>4,332,500</t>
  </si>
  <si>
    <t>7,984,500</t>
  </si>
  <si>
    <t>7,054,739</t>
  </si>
  <si>
    <t>5,125,600</t>
  </si>
  <si>
    <t>5,538,303</t>
  </si>
  <si>
    <t>78,576,817</t>
  </si>
  <si>
    <t>7,761,000</t>
  </si>
  <si>
    <t>6,342,000</t>
  </si>
  <si>
    <t>9,819,000</t>
  </si>
  <si>
    <t>12,884,500</t>
  </si>
  <si>
    <t>7,922,500</t>
  </si>
  <si>
    <t>7,754,500</t>
  </si>
  <si>
    <t>17,419,000</t>
  </si>
  <si>
    <t>13,543,500</t>
  </si>
  <si>
    <t>5,951,475</t>
  </si>
  <si>
    <t>4,205,945</t>
  </si>
  <si>
    <t>5,595,091</t>
  </si>
  <si>
    <t>15,929,000</t>
  </si>
  <si>
    <t>5,510,985</t>
  </si>
  <si>
    <t>6,831,309</t>
  </si>
  <si>
    <t>7,170,033</t>
  </si>
  <si>
    <t>6,885,000</t>
  </si>
  <si>
    <t>9,518,100</t>
  </si>
  <si>
    <t>4,985,264</t>
  </si>
  <si>
    <t>4,674,034</t>
  </si>
  <si>
    <t>17,852,187</t>
  </si>
  <si>
    <t>14,397,600</t>
  </si>
  <si>
    <t>12,108,752</t>
  </si>
  <si>
    <t>6,924,500</t>
  </si>
  <si>
    <t>9,224,970</t>
  </si>
  <si>
    <t>4,828,500</t>
  </si>
  <si>
    <t>10,053,500</t>
  </si>
  <si>
    <t>6,848,097</t>
  </si>
  <si>
    <t>8,524,840</t>
  </si>
  <si>
    <t>10,642,078</t>
  </si>
  <si>
    <t>12,060,408</t>
  </si>
  <si>
    <t>16,819,982</t>
  </si>
  <si>
    <t>8,670,628</t>
  </si>
  <si>
    <t>5,192,600</t>
  </si>
  <si>
    <t>13,813,500</t>
  </si>
  <si>
    <t>5,743,000</t>
  </si>
  <si>
    <t>8,331,000</t>
  </si>
  <si>
    <t>6,241,500</t>
  </si>
  <si>
    <t>12,984,470</t>
  </si>
  <si>
    <t>9,680,500</t>
  </si>
  <si>
    <t>20,663,500</t>
  </si>
  <si>
    <t>27,386,000</t>
  </si>
  <si>
    <t>26,759,733</t>
  </si>
  <si>
    <t>26,479,500</t>
  </si>
  <si>
    <t>12,334,086</t>
  </si>
  <si>
    <t>11,961,513</t>
  </si>
  <si>
    <t>28,703,804</t>
  </si>
  <si>
    <t>17,398,000</t>
  </si>
  <si>
    <t>6,460,650</t>
  </si>
  <si>
    <t>6,556,000</t>
  </si>
  <si>
    <t>16,102,000</t>
  </si>
  <si>
    <t>18,429,603</t>
  </si>
  <si>
    <t>10,679,539</t>
  </si>
  <si>
    <t>26,372,000</t>
  </si>
  <si>
    <t>8,138,000</t>
  </si>
  <si>
    <t>16,543,000</t>
  </si>
  <si>
    <t>12,176,334</t>
  </si>
  <si>
    <t>10,194,000</t>
  </si>
  <si>
    <t>6,260,000</t>
  </si>
  <si>
    <t>10,115,300</t>
  </si>
  <si>
    <t>47,856,000</t>
  </si>
  <si>
    <t>16,124,000</t>
  </si>
  <si>
    <t>47,028,000</t>
  </si>
  <si>
    <t>19,790,000</t>
  </si>
  <si>
    <t>26,646,000</t>
  </si>
  <si>
    <t>7,192,870</t>
  </si>
  <si>
    <t>13,678,000</t>
  </si>
  <si>
    <t>10,322,000</t>
  </si>
  <si>
    <t>3,626,000</t>
  </si>
  <si>
    <t>7,646,000</t>
  </si>
  <si>
    <t>14,766,000</t>
  </si>
  <si>
    <t>13,213,000</t>
  </si>
  <si>
    <t>13,658,000</t>
  </si>
  <si>
    <t>29,076,000</t>
  </si>
  <si>
    <t>5,415,000</t>
  </si>
  <si>
    <t>7,422,322</t>
  </si>
  <si>
    <t>6,754,000</t>
  </si>
  <si>
    <t>7,271,250</t>
  </si>
  <si>
    <t>7,300,000</t>
  </si>
  <si>
    <t>6,915,000</t>
  </si>
  <si>
    <t>17,971,421</t>
  </si>
  <si>
    <t>10,585,800</t>
  </si>
  <si>
    <t>7,560,000</t>
  </si>
  <si>
    <t>7,544,836</t>
  </si>
  <si>
    <t>12,781,229</t>
  </si>
  <si>
    <t>13,589,803</t>
  </si>
  <si>
    <t>14,579,989</t>
  </si>
  <si>
    <t>14,274,935</t>
  </si>
  <si>
    <t>12,558,000</t>
  </si>
  <si>
    <t>35,076,000</t>
  </si>
  <si>
    <t>42,006,000</t>
  </si>
  <si>
    <t>7,512,000</t>
  </si>
  <si>
    <t>5,378,000</t>
  </si>
  <si>
    <t>7,344,000</t>
  </si>
  <si>
    <t>12,430,000</t>
  </si>
  <si>
    <t>9,357,000</t>
  </si>
  <si>
    <t>6,614,000</t>
  </si>
  <si>
    <t>9,162,000</t>
  </si>
  <si>
    <t>10,478,000</t>
  </si>
  <si>
    <t>9,387,429</t>
  </si>
  <si>
    <t>11,528,913</t>
  </si>
  <si>
    <t>9,966,000</t>
  </si>
  <si>
    <t>4,950,000</t>
  </si>
  <si>
    <t>22,204,059</t>
  </si>
  <si>
    <t>20,557,080</t>
  </si>
  <si>
    <t>28,410,661</t>
  </si>
  <si>
    <t>17,323,337</t>
  </si>
  <si>
    <t>12,568,679</t>
  </si>
  <si>
    <t>17,728,529</t>
  </si>
  <si>
    <t>10,976,797</t>
  </si>
  <si>
    <t>19,985,335</t>
  </si>
  <si>
    <t>30,904,000</t>
  </si>
  <si>
    <t>35,008,000</t>
  </si>
  <si>
    <t>19,052,677</t>
  </si>
  <si>
    <t>8,867,846</t>
  </si>
  <si>
    <t>9,086,900</t>
  </si>
  <si>
    <t>19,956,900</t>
  </si>
  <si>
    <t>16,682,602</t>
  </si>
  <si>
    <t>39,556,000</t>
  </si>
  <si>
    <t>32,018,000</t>
  </si>
  <si>
    <t>70,725,999</t>
  </si>
  <si>
    <t>15,814,000</t>
  </si>
  <si>
    <t>19,488,000</t>
  </si>
  <si>
    <t>31,392,000</t>
  </si>
  <si>
    <t>7,444,000</t>
  </si>
  <si>
    <t>8,490,157</t>
  </si>
  <si>
    <t>15,186,500</t>
  </si>
  <si>
    <t>4,636,175</t>
  </si>
  <si>
    <t>13,046,000</t>
  </si>
  <si>
    <t>16,269,217</t>
  </si>
  <si>
    <t>16,047,607</t>
  </si>
  <si>
    <t>35,569,564</t>
  </si>
  <si>
    <t>13,757,428</t>
  </si>
  <si>
    <t>21,434,707</t>
  </si>
  <si>
    <t>27,122,820</t>
  </si>
  <si>
    <t>40,459,415</t>
  </si>
  <si>
    <t>27,460,838</t>
  </si>
  <si>
    <t>50,452,846</t>
  </si>
  <si>
    <t>48,121,094</t>
  </si>
  <si>
    <t>49,420,828</t>
  </si>
  <si>
    <t>46,256,814</t>
  </si>
  <si>
    <t>37,157,132</t>
  </si>
  <si>
    <t>21,068,367</t>
  </si>
  <si>
    <t>24,919,955</t>
  </si>
  <si>
    <t>47,429,073</t>
  </si>
  <si>
    <t>45,501,526</t>
  </si>
  <si>
    <t>89,522,346</t>
  </si>
  <si>
    <t>47,048,969</t>
  </si>
  <si>
    <t>63,827,427</t>
  </si>
  <si>
    <t>56,749,460</t>
  </si>
  <si>
    <t>56,186,011</t>
  </si>
  <si>
    <t>25,090,428</t>
  </si>
  <si>
    <t>19,613,627</t>
  </si>
  <si>
    <t>40,304,640</t>
  </si>
  <si>
    <t>32,429,683</t>
  </si>
  <si>
    <t>28,239,105</t>
  </si>
  <si>
    <t>30,820,566</t>
  </si>
  <si>
    <t>45,191,496</t>
  </si>
  <si>
    <t>34,400,382</t>
  </si>
  <si>
    <t>51,735,121</t>
  </si>
  <si>
    <t>40,750,548</t>
  </si>
  <si>
    <t>59,607,364</t>
  </si>
  <si>
    <t>34,909,787</t>
  </si>
  <si>
    <t>73,518,498</t>
  </si>
  <si>
    <t>70,141,243</t>
  </si>
  <si>
    <t>34,030,141</t>
  </si>
  <si>
    <t>53,184,264</t>
  </si>
  <si>
    <t>38,660,290</t>
  </si>
  <si>
    <t>42,702,771</t>
  </si>
  <si>
    <t>37,532,926</t>
  </si>
  <si>
    <t>31,167,327</t>
  </si>
  <si>
    <t>60,624,654</t>
  </si>
  <si>
    <t>33,214,593</t>
  </si>
  <si>
    <t>35,596,644</t>
  </si>
  <si>
    <t>42,450,406</t>
  </si>
  <si>
    <t>35,249,553</t>
  </si>
  <si>
    <t>32,420,976</t>
  </si>
  <si>
    <t>46,572,119</t>
  </si>
  <si>
    <t>55,328,361</t>
  </si>
  <si>
    <t>44,219,474</t>
  </si>
  <si>
    <t>31,722,191</t>
  </si>
  <si>
    <t>30,467,521</t>
  </si>
  <si>
    <t>69,385,479</t>
  </si>
  <si>
    <t>44,325,900</t>
  </si>
  <si>
    <t>18,499,746</t>
  </si>
  <si>
    <t>17,180,874</t>
  </si>
  <si>
    <t>23,267,988</t>
  </si>
  <si>
    <t>16,756,409</t>
  </si>
  <si>
    <t>30,882,656</t>
  </si>
  <si>
    <t>38,011,281</t>
  </si>
  <si>
    <t>55,439,626</t>
  </si>
  <si>
    <t>42,304,513</t>
  </si>
  <si>
    <t>23,142,423</t>
  </si>
  <si>
    <t>21,565,573</t>
  </si>
  <si>
    <t>18,446,300</t>
  </si>
  <si>
    <t>24,954,149</t>
  </si>
  <si>
    <t>18,011,291</t>
  </si>
  <si>
    <t>7,503,331</t>
  </si>
  <si>
    <t>19,877,706</t>
  </si>
  <si>
    <t>25,035,462</t>
  </si>
  <si>
    <t>16,961,589</t>
  </si>
  <si>
    <t>18,554,466</t>
  </si>
  <si>
    <t>31,553,178</t>
  </si>
  <si>
    <t>12,318,718</t>
  </si>
  <si>
    <t>27,633,861</t>
  </si>
  <si>
    <t>37,001,415</t>
  </si>
  <si>
    <t>20,324,666</t>
  </si>
  <si>
    <t>12,425,219</t>
  </si>
  <si>
    <t>14,946,463</t>
  </si>
  <si>
    <t>15,102,944</t>
  </si>
  <si>
    <t>13,424,021</t>
  </si>
  <si>
    <t>14,426,762</t>
  </si>
  <si>
    <t>2863</t>
  </si>
  <si>
    <t>高豐集團控股有限公司</t>
  </si>
  <si>
    <t>1,321,639</t>
  </si>
  <si>
    <t>12,317,875</t>
  </si>
  <si>
    <t>11,640,832</t>
  </si>
  <si>
    <t>5,004,971</t>
  </si>
  <si>
    <t>141,000</t>
  </si>
  <si>
    <t>3,168,071</t>
  </si>
  <si>
    <t>15,619,500</t>
  </si>
  <si>
    <t>5,550,000</t>
  </si>
  <si>
    <t>公司名稱</t>
  </si>
  <si>
    <t>33,000</t>
  </si>
  <si>
    <t>3,236,610</t>
  </si>
  <si>
    <t>12,982,427</t>
  </si>
  <si>
    <t>14,933,000</t>
  </si>
  <si>
    <t>8,586,524</t>
  </si>
  <si>
    <t>1,121,000</t>
  </si>
  <si>
    <t>4,018,765</t>
  </si>
  <si>
    <t>392,000</t>
  </si>
  <si>
    <t>23,036,000</t>
  </si>
  <si>
    <t>8,288,000</t>
  </si>
  <si>
    <t>46,908,582</t>
  </si>
  <si>
    <t>55,257,948</t>
  </si>
  <si>
    <t>383,000</t>
  </si>
  <si>
    <t>132,000</t>
  </si>
  <si>
    <t>347,000</t>
  </si>
  <si>
    <t>66,000</t>
  </si>
  <si>
    <t>356,000</t>
  </si>
  <si>
    <t>147,000</t>
  </si>
  <si>
    <t>211,000</t>
  </si>
  <si>
    <t>795,000</t>
  </si>
  <si>
    <t>1,485,935</t>
  </si>
  <si>
    <t>457,496</t>
  </si>
  <si>
    <t>413,445</t>
  </si>
  <si>
    <t>1,890,520</t>
  </si>
  <si>
    <t>663,334</t>
  </si>
  <si>
    <t>1,433,740</t>
  </si>
  <si>
    <t>1,376,160</t>
  </si>
  <si>
    <t>1,292,477</t>
  </si>
  <si>
    <t>317,131,933</t>
  </si>
  <si>
    <t>19,989,488</t>
  </si>
  <si>
    <t>18,396,702</t>
  </si>
  <si>
    <t>9,378,649</t>
  </si>
  <si>
    <t>4,684,722</t>
  </si>
  <si>
    <t>14,713,655</t>
  </si>
  <si>
    <t>5,774,148</t>
  </si>
  <si>
    <t>5,116,007</t>
  </si>
  <si>
    <t>7,828,526</t>
  </si>
  <si>
    <t>6,077,094</t>
  </si>
  <si>
    <t>12,081,005</t>
  </si>
  <si>
    <t>10,131,820</t>
  </si>
  <si>
    <t>13,148,855</t>
  </si>
  <si>
    <t>11,407,000</t>
  </si>
  <si>
    <t>14,482,312</t>
  </si>
  <si>
    <t>5,480,390</t>
  </si>
  <si>
    <t>4,180,000</t>
  </si>
  <si>
    <t>7,044,208</t>
  </si>
  <si>
    <t>9,446,946</t>
  </si>
  <si>
    <t>16,593,915</t>
  </si>
  <si>
    <t>10,553,302</t>
  </si>
  <si>
    <t>8,431,978</t>
  </si>
  <si>
    <t>7,387,405</t>
  </si>
  <si>
    <t>15,418,165</t>
  </si>
  <si>
    <t>57,166,000</t>
  </si>
  <si>
    <t>9,833,583</t>
  </si>
  <si>
    <t>234,000</t>
  </si>
  <si>
    <t>180,000</t>
  </si>
  <si>
    <t>18,000</t>
  </si>
  <si>
    <t>1,214,000</t>
  </si>
  <si>
    <t>1,496,136</t>
  </si>
  <si>
    <t>1,395,987</t>
  </si>
  <si>
    <t>1,022,362</t>
  </si>
  <si>
    <t>822,668</t>
  </si>
  <si>
    <t>806,160</t>
  </si>
  <si>
    <t>1,456,956</t>
  </si>
  <si>
    <t>1,110,357</t>
  </si>
  <si>
    <t>1,255,830</t>
  </si>
  <si>
    <t>1,458,000</t>
  </si>
  <si>
    <t>802,000</t>
  </si>
  <si>
    <t>1,438,000</t>
  </si>
  <si>
    <t>248,654</t>
  </si>
  <si>
    <t>134,000</t>
  </si>
  <si>
    <t>918,000</t>
  </si>
  <si>
    <t>6,427,221</t>
  </si>
  <si>
    <t>6,266,000</t>
  </si>
  <si>
    <t>6,394,113</t>
  </si>
  <si>
    <t>3,088,740</t>
  </si>
  <si>
    <t>4,836,500</t>
  </si>
  <si>
    <t>4,649,000</t>
  </si>
  <si>
    <t>7,515,035</t>
  </si>
  <si>
    <t>10,170,001</t>
  </si>
  <si>
    <t>7,512,750</t>
  </si>
  <si>
    <t>16,820,000</t>
  </si>
  <si>
    <t>20,721,099</t>
  </si>
  <si>
    <t>26,922,000</t>
  </si>
  <si>
    <t>26,393,999</t>
  </si>
  <si>
    <t>15,412,000</t>
  </si>
  <si>
    <t>40,278,000</t>
  </si>
  <si>
    <t>20,018,836</t>
  </si>
  <si>
    <t>25,184,000</t>
  </si>
  <si>
    <t>15,158,000</t>
  </si>
  <si>
    <t>52,423,597</t>
  </si>
  <si>
    <t>33,546,710</t>
  </si>
  <si>
    <t>25,693,362</t>
  </si>
  <si>
    <t>31,154,477</t>
  </si>
  <si>
    <t>21,760,302</t>
  </si>
  <si>
    <t>17,345,520</t>
  </si>
  <si>
    <t>15,482,473</t>
  </si>
  <si>
    <t>21,847,704</t>
  </si>
  <si>
    <t>34,782,034</t>
  </si>
  <si>
    <t>550,000</t>
  </si>
  <si>
    <t>510,000</t>
  </si>
  <si>
    <t>2,809,000</t>
  </si>
  <si>
    <t>1,076,297</t>
  </si>
  <si>
    <t>601,920</t>
  </si>
  <si>
    <t>765,200</t>
  </si>
  <si>
    <t>826,017</t>
  </si>
  <si>
    <t>52,402,590</t>
  </si>
  <si>
    <t>42,458,237</t>
  </si>
  <si>
    <t>50,912,922</t>
  </si>
  <si>
    <t>129,039,053</t>
  </si>
  <si>
    <t>4,953,246</t>
  </si>
  <si>
    <t>6,730,571</t>
  </si>
  <si>
    <t>7,979,000</t>
  </si>
  <si>
    <t>9,057,494</t>
  </si>
  <si>
    <t>8,390,648</t>
  </si>
  <si>
    <t>4,316,334</t>
  </si>
  <si>
    <t>5,340,598</t>
  </si>
  <si>
    <t>8,769,000</t>
  </si>
  <si>
    <t>299,000</t>
  </si>
  <si>
    <t>431,000</t>
  </si>
  <si>
    <t>403,000</t>
  </si>
  <si>
    <t>7,385,817</t>
  </si>
  <si>
    <t>8,831,867</t>
  </si>
  <si>
    <t>1,458,283</t>
  </si>
  <si>
    <t>1,093,981</t>
  </si>
  <si>
    <t>246,000</t>
  </si>
  <si>
    <t>1,218,000</t>
  </si>
  <si>
    <t>796,000</t>
  </si>
  <si>
    <t>1,394,000</t>
  </si>
  <si>
    <t>8,115,886</t>
  </si>
  <si>
    <t>10,797,800</t>
  </si>
  <si>
    <t>23,308,443</t>
  </si>
  <si>
    <t>12,134,000</t>
  </si>
  <si>
    <t>13,102,000</t>
  </si>
  <si>
    <t>11,576,600</t>
  </si>
  <si>
    <t>8,092,000</t>
  </si>
  <si>
    <t>13,292,008</t>
  </si>
  <si>
    <t>40,809,111</t>
  </si>
  <si>
    <t>27,488,794</t>
  </si>
  <si>
    <t>55,738,128</t>
  </si>
  <si>
    <t>67,931,898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</si>
</sst>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sz val="10"/>
      <color rgb="FF00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0" borderId="0" xfId="0" applyNumberFormat="1"/>
    <xf numFmtId="14" fontId="0" fillId="0" borderId="0" xfId="0" applyNumberFormat="1"/>
    <xf numFmtId="49" fontId="0" fillId="2" borderId="0" xfId="0" applyNumberFormat="1" applyFont="1" applyFill="1"/>
    <xf numFmtId="49" fontId="0" fillId="0" borderId="0" xfId="0" applyNumberFormat="1" applyFont="1"/>
    <xf numFmtId="49" fontId="0" fillId="2" borderId="0" xfId="0" applyNumberFormat="1" applyFont="1" applyFill="1" applyBorder="1"/>
    <xf numFmtId="0" fontId="0" fillId="0" borderId="0" xfId="0" applyNumberFormat="1" applyBorder="1"/>
    <xf numFmtId="0" fontId="1" fillId="0" borderId="0" xfId="0" applyFont="1" applyAlignment="1">
      <alignment horizontal="center"/>
    </xf>
  </cellXfs>
  <cellStyles count="1">
    <cellStyle name="一般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30" formatCode="@"/>
      <fill>
        <patternFill patternType="solid">
          <fgColor theme="0" tint="-0.14999847407452621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主頁面!$J$1</c:f>
          <c:strCache>
            <c:ptCount val="1"/>
            <c:pt idx="0">
              <c:v>0238 長興國際(集團)控股有限公司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主頁面!$K$2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主頁面!$J$3:$J$102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主頁面!$K$3:$K$102</c:f>
              <c:numCache>
                <c:formatCode>General</c:formatCode>
                <c:ptCount val="100"/>
                <c:pt idx="0">
                  <c:v>0.8</c:v>
                </c:pt>
                <c:pt idx="1">
                  <c:v>0.8</c:v>
                </c:pt>
                <c:pt idx="2">
                  <c:v>0.79</c:v>
                </c:pt>
                <c:pt idx="3">
                  <c:v>0.78</c:v>
                </c:pt>
                <c:pt idx="4">
                  <c:v>0.78</c:v>
                </c:pt>
                <c:pt idx="5">
                  <c:v>0.79</c:v>
                </c:pt>
                <c:pt idx="6">
                  <c:v>0.78</c:v>
                </c:pt>
                <c:pt idx="7">
                  <c:v>0.77</c:v>
                </c:pt>
                <c:pt idx="8">
                  <c:v>0.78</c:v>
                </c:pt>
                <c:pt idx="9">
                  <c:v>0.78</c:v>
                </c:pt>
                <c:pt idx="10">
                  <c:v>0.77</c:v>
                </c:pt>
                <c:pt idx="11">
                  <c:v>0.74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0.74</c:v>
                </c:pt>
                <c:pt idx="18">
                  <c:v>0.76</c:v>
                </c:pt>
                <c:pt idx="19">
                  <c:v>0.74</c:v>
                </c:pt>
                <c:pt idx="20">
                  <c:v>0.74</c:v>
                </c:pt>
                <c:pt idx="21">
                  <c:v>0.75</c:v>
                </c:pt>
                <c:pt idx="22">
                  <c:v>0.74</c:v>
                </c:pt>
                <c:pt idx="23">
                  <c:v>0.74</c:v>
                </c:pt>
                <c:pt idx="24">
                  <c:v>0.75</c:v>
                </c:pt>
                <c:pt idx="25">
                  <c:v>0.74</c:v>
                </c:pt>
                <c:pt idx="26">
                  <c:v>0.71</c:v>
                </c:pt>
                <c:pt idx="27">
                  <c:v>0.73</c:v>
                </c:pt>
                <c:pt idx="28">
                  <c:v>0.72</c:v>
                </c:pt>
                <c:pt idx="29">
                  <c:v>0.72</c:v>
                </c:pt>
                <c:pt idx="30">
                  <c:v>0.72</c:v>
                </c:pt>
                <c:pt idx="31">
                  <c:v>0.72</c:v>
                </c:pt>
                <c:pt idx="32">
                  <c:v>0.76</c:v>
                </c:pt>
                <c:pt idx="33">
                  <c:v>0.76</c:v>
                </c:pt>
                <c:pt idx="34">
                  <c:v>0.75</c:v>
                </c:pt>
                <c:pt idx="35">
                  <c:v>0.73</c:v>
                </c:pt>
                <c:pt idx="36">
                  <c:v>0.78</c:v>
                </c:pt>
                <c:pt idx="37">
                  <c:v>0.74</c:v>
                </c:pt>
                <c:pt idx="38">
                  <c:v>0.73</c:v>
                </c:pt>
                <c:pt idx="39">
                  <c:v>0.73</c:v>
                </c:pt>
                <c:pt idx="40">
                  <c:v>0.74</c:v>
                </c:pt>
                <c:pt idx="41">
                  <c:v>0.74</c:v>
                </c:pt>
                <c:pt idx="42">
                  <c:v>0.74</c:v>
                </c:pt>
                <c:pt idx="43">
                  <c:v>0.77</c:v>
                </c:pt>
                <c:pt idx="44">
                  <c:v>0.75</c:v>
                </c:pt>
                <c:pt idx="45">
                  <c:v>0.75</c:v>
                </c:pt>
                <c:pt idx="46">
                  <c:v>0.74</c:v>
                </c:pt>
                <c:pt idx="47">
                  <c:v>0.74</c:v>
                </c:pt>
                <c:pt idx="48">
                  <c:v>0.74</c:v>
                </c:pt>
                <c:pt idx="49">
                  <c:v>0.74</c:v>
                </c:pt>
                <c:pt idx="50">
                  <c:v>0.74</c:v>
                </c:pt>
                <c:pt idx="51">
                  <c:v>0.73</c:v>
                </c:pt>
                <c:pt idx="52">
                  <c:v>0.73</c:v>
                </c:pt>
                <c:pt idx="53">
                  <c:v>0.73</c:v>
                </c:pt>
                <c:pt idx="54">
                  <c:v>0.71</c:v>
                </c:pt>
                <c:pt idx="55">
                  <c:v>0.71</c:v>
                </c:pt>
                <c:pt idx="56">
                  <c:v>0.7</c:v>
                </c:pt>
                <c:pt idx="57">
                  <c:v>0.71</c:v>
                </c:pt>
                <c:pt idx="58">
                  <c:v>0.68</c:v>
                </c:pt>
                <c:pt idx="59">
                  <c:v>0.68</c:v>
                </c:pt>
                <c:pt idx="60">
                  <c:v>0.68</c:v>
                </c:pt>
                <c:pt idx="61">
                  <c:v>0.68</c:v>
                </c:pt>
                <c:pt idx="62">
                  <c:v>0.68</c:v>
                </c:pt>
                <c:pt idx="63">
                  <c:v>0.68</c:v>
                </c:pt>
                <c:pt idx="64">
                  <c:v>0.67</c:v>
                </c:pt>
                <c:pt idx="65">
                  <c:v>0.67</c:v>
                </c:pt>
                <c:pt idx="66">
                  <c:v>0.68</c:v>
                </c:pt>
                <c:pt idx="67">
                  <c:v>0.69</c:v>
                </c:pt>
                <c:pt idx="68">
                  <c:v>0.67</c:v>
                </c:pt>
                <c:pt idx="69">
                  <c:v>0.68</c:v>
                </c:pt>
                <c:pt idx="70">
                  <c:v>0.68</c:v>
                </c:pt>
                <c:pt idx="71">
                  <c:v>0.68</c:v>
                </c:pt>
                <c:pt idx="72">
                  <c:v>0.68</c:v>
                </c:pt>
                <c:pt idx="73">
                  <c:v>0.7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0.63</c:v>
                </c:pt>
                <c:pt idx="78">
                  <c:v>0.64</c:v>
                </c:pt>
                <c:pt idx="79">
                  <c:v>0.64</c:v>
                </c:pt>
                <c:pt idx="80">
                  <c:v>0.64</c:v>
                </c:pt>
                <c:pt idx="81">
                  <c:v>0.64</c:v>
                </c:pt>
                <c:pt idx="82">
                  <c:v>0.64</c:v>
                </c:pt>
                <c:pt idx="83">
                  <c:v>0.63</c:v>
                </c:pt>
                <c:pt idx="84">
                  <c:v>0.62</c:v>
                </c:pt>
                <c:pt idx="85">
                  <c:v>0.6</c:v>
                </c:pt>
                <c:pt idx="86">
                  <c:v>0.6</c:v>
                </c:pt>
                <c:pt idx="87">
                  <c:v>0.59</c:v>
                </c:pt>
                <c:pt idx="88">
                  <c:v>0.57999999999999996</c:v>
                </c:pt>
                <c:pt idx="89">
                  <c:v>0.56000000000000005</c:v>
                </c:pt>
                <c:pt idx="90">
                  <c:v>0.56000000000000005</c:v>
                </c:pt>
                <c:pt idx="91">
                  <c:v>0.56000000000000005</c:v>
                </c:pt>
                <c:pt idx="92">
                  <c:v>0.6</c:v>
                </c:pt>
                <c:pt idx="93">
                  <c:v>0.62</c:v>
                </c:pt>
                <c:pt idx="94">
                  <c:v>0.6</c:v>
                </c:pt>
                <c:pt idx="95">
                  <c:v>0.63</c:v>
                </c:pt>
                <c:pt idx="96">
                  <c:v>0.67</c:v>
                </c:pt>
                <c:pt idx="97">
                  <c:v>0.74</c:v>
                </c:pt>
                <c:pt idx="98">
                  <c:v>0.74</c:v>
                </c:pt>
                <c:pt idx="99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63-4693-9A2F-68C38438755F}"/>
            </c:ext>
          </c:extLst>
        </c:ser>
        <c:ser>
          <c:idx val="1"/>
          <c:order val="1"/>
          <c:tx>
            <c:strRef>
              <c:f>主頁面!$L$2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主頁面!$J$3:$J$102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主頁面!$L$3:$L$102</c:f>
              <c:numCache>
                <c:formatCode>General</c:formatCode>
                <c:ptCount val="100"/>
                <c:pt idx="0">
                  <c:v>0.8</c:v>
                </c:pt>
                <c:pt idx="1">
                  <c:v>0.8</c:v>
                </c:pt>
                <c:pt idx="2">
                  <c:v>0.79</c:v>
                </c:pt>
                <c:pt idx="3">
                  <c:v>0.79</c:v>
                </c:pt>
                <c:pt idx="4">
                  <c:v>0.79</c:v>
                </c:pt>
                <c:pt idx="5">
                  <c:v>0.79</c:v>
                </c:pt>
                <c:pt idx="6">
                  <c:v>0.8</c:v>
                </c:pt>
                <c:pt idx="7">
                  <c:v>0.79</c:v>
                </c:pt>
                <c:pt idx="8">
                  <c:v>0.78</c:v>
                </c:pt>
                <c:pt idx="9">
                  <c:v>0.78</c:v>
                </c:pt>
                <c:pt idx="10">
                  <c:v>0.77</c:v>
                </c:pt>
                <c:pt idx="11">
                  <c:v>0.76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0.8</c:v>
                </c:pt>
                <c:pt idx="18">
                  <c:v>0.77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0.74</c:v>
                </c:pt>
                <c:pt idx="23">
                  <c:v>0.75</c:v>
                </c:pt>
                <c:pt idx="24">
                  <c:v>0.75</c:v>
                </c:pt>
                <c:pt idx="25">
                  <c:v>0.74</c:v>
                </c:pt>
                <c:pt idx="26">
                  <c:v>0.75</c:v>
                </c:pt>
                <c:pt idx="27">
                  <c:v>0.74</c:v>
                </c:pt>
                <c:pt idx="28">
                  <c:v>0.73</c:v>
                </c:pt>
                <c:pt idx="29">
                  <c:v>0.74</c:v>
                </c:pt>
                <c:pt idx="30">
                  <c:v>0.75</c:v>
                </c:pt>
                <c:pt idx="31">
                  <c:v>0.82</c:v>
                </c:pt>
                <c:pt idx="32">
                  <c:v>0.8</c:v>
                </c:pt>
                <c:pt idx="33">
                  <c:v>0.76</c:v>
                </c:pt>
                <c:pt idx="34">
                  <c:v>0.75</c:v>
                </c:pt>
                <c:pt idx="35">
                  <c:v>0.75</c:v>
                </c:pt>
                <c:pt idx="36">
                  <c:v>0.8</c:v>
                </c:pt>
                <c:pt idx="37">
                  <c:v>0.75</c:v>
                </c:pt>
                <c:pt idx="38">
                  <c:v>0.78</c:v>
                </c:pt>
                <c:pt idx="39">
                  <c:v>0.74</c:v>
                </c:pt>
                <c:pt idx="40">
                  <c:v>0.76</c:v>
                </c:pt>
                <c:pt idx="41">
                  <c:v>0.74</c:v>
                </c:pt>
                <c:pt idx="42">
                  <c:v>0.78</c:v>
                </c:pt>
                <c:pt idx="43">
                  <c:v>0.77</c:v>
                </c:pt>
                <c:pt idx="44">
                  <c:v>0.75</c:v>
                </c:pt>
                <c:pt idx="45">
                  <c:v>0.75</c:v>
                </c:pt>
                <c:pt idx="46">
                  <c:v>0.74</c:v>
                </c:pt>
                <c:pt idx="47">
                  <c:v>0.75</c:v>
                </c:pt>
                <c:pt idx="48">
                  <c:v>0.75</c:v>
                </c:pt>
                <c:pt idx="49">
                  <c:v>0.75</c:v>
                </c:pt>
                <c:pt idx="50">
                  <c:v>0.75</c:v>
                </c:pt>
                <c:pt idx="51">
                  <c:v>0.74</c:v>
                </c:pt>
                <c:pt idx="52">
                  <c:v>0.74</c:v>
                </c:pt>
                <c:pt idx="53">
                  <c:v>0.73</c:v>
                </c:pt>
                <c:pt idx="54">
                  <c:v>0.73</c:v>
                </c:pt>
                <c:pt idx="55">
                  <c:v>0.72</c:v>
                </c:pt>
                <c:pt idx="56">
                  <c:v>0.71</c:v>
                </c:pt>
                <c:pt idx="57">
                  <c:v>0.71</c:v>
                </c:pt>
                <c:pt idx="58">
                  <c:v>0.7</c:v>
                </c:pt>
                <c:pt idx="59">
                  <c:v>0.68</c:v>
                </c:pt>
                <c:pt idx="60">
                  <c:v>0.71</c:v>
                </c:pt>
                <c:pt idx="61">
                  <c:v>0.71</c:v>
                </c:pt>
                <c:pt idx="62">
                  <c:v>0.69</c:v>
                </c:pt>
                <c:pt idx="63">
                  <c:v>0.68</c:v>
                </c:pt>
                <c:pt idx="64">
                  <c:v>0.69</c:v>
                </c:pt>
                <c:pt idx="65">
                  <c:v>0.67</c:v>
                </c:pt>
                <c:pt idx="66">
                  <c:v>0.7</c:v>
                </c:pt>
                <c:pt idx="67">
                  <c:v>0.69</c:v>
                </c:pt>
                <c:pt idx="68">
                  <c:v>0.7</c:v>
                </c:pt>
                <c:pt idx="69">
                  <c:v>0.68</c:v>
                </c:pt>
                <c:pt idx="70">
                  <c:v>0.68</c:v>
                </c:pt>
                <c:pt idx="71">
                  <c:v>0.7</c:v>
                </c:pt>
                <c:pt idx="72">
                  <c:v>0.68</c:v>
                </c:pt>
                <c:pt idx="73">
                  <c:v>0.7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0.68</c:v>
                </c:pt>
                <c:pt idx="78">
                  <c:v>0.66</c:v>
                </c:pt>
                <c:pt idx="79">
                  <c:v>0.64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0.63</c:v>
                </c:pt>
                <c:pt idx="84">
                  <c:v>0.64</c:v>
                </c:pt>
                <c:pt idx="85">
                  <c:v>0.6</c:v>
                </c:pt>
                <c:pt idx="86">
                  <c:v>0.61</c:v>
                </c:pt>
                <c:pt idx="87">
                  <c:v>0.59</c:v>
                </c:pt>
                <c:pt idx="88">
                  <c:v>0.57999999999999996</c:v>
                </c:pt>
                <c:pt idx="89">
                  <c:v>0.56999999999999995</c:v>
                </c:pt>
                <c:pt idx="90">
                  <c:v>0.57999999999999996</c:v>
                </c:pt>
                <c:pt idx="91">
                  <c:v>0.56999999999999995</c:v>
                </c:pt>
                <c:pt idx="92">
                  <c:v>0.64</c:v>
                </c:pt>
                <c:pt idx="93">
                  <c:v>0.62</c:v>
                </c:pt>
                <c:pt idx="94">
                  <c:v>0.64</c:v>
                </c:pt>
                <c:pt idx="95">
                  <c:v>0.65</c:v>
                </c:pt>
                <c:pt idx="96">
                  <c:v>0.78</c:v>
                </c:pt>
                <c:pt idx="97">
                  <c:v>0.75</c:v>
                </c:pt>
                <c:pt idx="98">
                  <c:v>0.75</c:v>
                </c:pt>
                <c:pt idx="99">
                  <c:v>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3-4693-9A2F-68C38438755F}"/>
            </c:ext>
          </c:extLst>
        </c:ser>
        <c:ser>
          <c:idx val="2"/>
          <c:order val="2"/>
          <c:tx>
            <c:strRef>
              <c:f>主頁面!$M$2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主頁面!$J$3:$J$102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主頁面!$M$3:$M$102</c:f>
              <c:numCache>
                <c:formatCode>General</c:formatCode>
                <c:ptCount val="100"/>
                <c:pt idx="0">
                  <c:v>0.8</c:v>
                </c:pt>
                <c:pt idx="1">
                  <c:v>0.78</c:v>
                </c:pt>
                <c:pt idx="2">
                  <c:v>0.78</c:v>
                </c:pt>
                <c:pt idx="3">
                  <c:v>0.78</c:v>
                </c:pt>
                <c:pt idx="4">
                  <c:v>0.78</c:v>
                </c:pt>
                <c:pt idx="5">
                  <c:v>0.78</c:v>
                </c:pt>
                <c:pt idx="6">
                  <c:v>0.78</c:v>
                </c:pt>
                <c:pt idx="7">
                  <c:v>0.76</c:v>
                </c:pt>
                <c:pt idx="8">
                  <c:v>0.78</c:v>
                </c:pt>
                <c:pt idx="9">
                  <c:v>0.77</c:v>
                </c:pt>
                <c:pt idx="10">
                  <c:v>0.75</c:v>
                </c:pt>
                <c:pt idx="11">
                  <c:v>0.74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0.74</c:v>
                </c:pt>
                <c:pt idx="17">
                  <c:v>0.74</c:v>
                </c:pt>
                <c:pt idx="18">
                  <c:v>0.74</c:v>
                </c:pt>
                <c:pt idx="19">
                  <c:v>0.74</c:v>
                </c:pt>
                <c:pt idx="20">
                  <c:v>0.73</c:v>
                </c:pt>
                <c:pt idx="21">
                  <c:v>0.74</c:v>
                </c:pt>
                <c:pt idx="22">
                  <c:v>0.74</c:v>
                </c:pt>
                <c:pt idx="23">
                  <c:v>0.74</c:v>
                </c:pt>
                <c:pt idx="24">
                  <c:v>0.73</c:v>
                </c:pt>
                <c:pt idx="25">
                  <c:v>0.71</c:v>
                </c:pt>
                <c:pt idx="26">
                  <c:v>0.71</c:v>
                </c:pt>
                <c:pt idx="27">
                  <c:v>0.71</c:v>
                </c:pt>
                <c:pt idx="28">
                  <c:v>0.72</c:v>
                </c:pt>
                <c:pt idx="29">
                  <c:v>0.71</c:v>
                </c:pt>
                <c:pt idx="30">
                  <c:v>0.72</c:v>
                </c:pt>
                <c:pt idx="31">
                  <c:v>0.72</c:v>
                </c:pt>
                <c:pt idx="32">
                  <c:v>0.74</c:v>
                </c:pt>
                <c:pt idx="33">
                  <c:v>0.76</c:v>
                </c:pt>
                <c:pt idx="34">
                  <c:v>0.75</c:v>
                </c:pt>
                <c:pt idx="35">
                  <c:v>0.73</c:v>
                </c:pt>
                <c:pt idx="36">
                  <c:v>0.74</c:v>
                </c:pt>
                <c:pt idx="37">
                  <c:v>0.73</c:v>
                </c:pt>
                <c:pt idx="38">
                  <c:v>0.73</c:v>
                </c:pt>
                <c:pt idx="39">
                  <c:v>0.73</c:v>
                </c:pt>
                <c:pt idx="40">
                  <c:v>0.73</c:v>
                </c:pt>
                <c:pt idx="41">
                  <c:v>0.72</c:v>
                </c:pt>
                <c:pt idx="42">
                  <c:v>0.74</c:v>
                </c:pt>
                <c:pt idx="43">
                  <c:v>0.75</c:v>
                </c:pt>
                <c:pt idx="44">
                  <c:v>0.74</c:v>
                </c:pt>
                <c:pt idx="45">
                  <c:v>0.74</c:v>
                </c:pt>
                <c:pt idx="46">
                  <c:v>0.73</c:v>
                </c:pt>
                <c:pt idx="47">
                  <c:v>0.74</c:v>
                </c:pt>
                <c:pt idx="48">
                  <c:v>0.73</c:v>
                </c:pt>
                <c:pt idx="49">
                  <c:v>0.74</c:v>
                </c:pt>
                <c:pt idx="50">
                  <c:v>0.74</c:v>
                </c:pt>
                <c:pt idx="51">
                  <c:v>0.73</c:v>
                </c:pt>
                <c:pt idx="52">
                  <c:v>0.73</c:v>
                </c:pt>
                <c:pt idx="53">
                  <c:v>0.71</c:v>
                </c:pt>
                <c:pt idx="54">
                  <c:v>0.69</c:v>
                </c:pt>
                <c:pt idx="55">
                  <c:v>0.69</c:v>
                </c:pt>
                <c:pt idx="56">
                  <c:v>0.7</c:v>
                </c:pt>
                <c:pt idx="57">
                  <c:v>0.69</c:v>
                </c:pt>
                <c:pt idx="58">
                  <c:v>0.66</c:v>
                </c:pt>
                <c:pt idx="59">
                  <c:v>0.67</c:v>
                </c:pt>
                <c:pt idx="60">
                  <c:v>0.68</c:v>
                </c:pt>
                <c:pt idx="61">
                  <c:v>0.68</c:v>
                </c:pt>
                <c:pt idx="62">
                  <c:v>0.68</c:v>
                </c:pt>
                <c:pt idx="63">
                  <c:v>0.68</c:v>
                </c:pt>
                <c:pt idx="64">
                  <c:v>0.67</c:v>
                </c:pt>
                <c:pt idx="65">
                  <c:v>0.67</c:v>
                </c:pt>
                <c:pt idx="66">
                  <c:v>0.68</c:v>
                </c:pt>
                <c:pt idx="67">
                  <c:v>0.68</c:v>
                </c:pt>
                <c:pt idx="68">
                  <c:v>0.67</c:v>
                </c:pt>
                <c:pt idx="69">
                  <c:v>0.68</c:v>
                </c:pt>
                <c:pt idx="70">
                  <c:v>0.68</c:v>
                </c:pt>
                <c:pt idx="71">
                  <c:v>0.68</c:v>
                </c:pt>
                <c:pt idx="72">
                  <c:v>0.68</c:v>
                </c:pt>
                <c:pt idx="73">
                  <c:v>0.64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0.63</c:v>
                </c:pt>
                <c:pt idx="78">
                  <c:v>0.62</c:v>
                </c:pt>
                <c:pt idx="79">
                  <c:v>0.64</c:v>
                </c:pt>
                <c:pt idx="80">
                  <c:v>0.64</c:v>
                </c:pt>
                <c:pt idx="81">
                  <c:v>0.64</c:v>
                </c:pt>
                <c:pt idx="82">
                  <c:v>0.63</c:v>
                </c:pt>
                <c:pt idx="83">
                  <c:v>0.62</c:v>
                </c:pt>
                <c:pt idx="84">
                  <c:v>0.6</c:v>
                </c:pt>
                <c:pt idx="85">
                  <c:v>0.6</c:v>
                </c:pt>
                <c:pt idx="86">
                  <c:v>0.59</c:v>
                </c:pt>
                <c:pt idx="87">
                  <c:v>0.59</c:v>
                </c:pt>
                <c:pt idx="88">
                  <c:v>0.56000000000000005</c:v>
                </c:pt>
                <c:pt idx="89">
                  <c:v>0.56000000000000005</c:v>
                </c:pt>
                <c:pt idx="90">
                  <c:v>0.56000000000000005</c:v>
                </c:pt>
                <c:pt idx="91">
                  <c:v>0.56000000000000005</c:v>
                </c:pt>
                <c:pt idx="92">
                  <c:v>0.6</c:v>
                </c:pt>
                <c:pt idx="93">
                  <c:v>0.62</c:v>
                </c:pt>
                <c:pt idx="94">
                  <c:v>0.6</c:v>
                </c:pt>
                <c:pt idx="95">
                  <c:v>0.63</c:v>
                </c:pt>
                <c:pt idx="96">
                  <c:v>0.67</c:v>
                </c:pt>
                <c:pt idx="97">
                  <c:v>0.71</c:v>
                </c:pt>
                <c:pt idx="98">
                  <c:v>0.73</c:v>
                </c:pt>
                <c:pt idx="99">
                  <c:v>0.73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63-4693-9A2F-68C38438755F}"/>
            </c:ext>
          </c:extLst>
        </c:ser>
        <c:ser>
          <c:idx val="3"/>
          <c:order val="3"/>
          <c:tx>
            <c:strRef>
              <c:f>主頁面!$N$2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主頁面!$J$3:$J$102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主頁面!$N$3:$N$102</c:f>
              <c:numCache>
                <c:formatCode>General</c:formatCode>
                <c:ptCount val="100"/>
                <c:pt idx="0">
                  <c:v>0.8</c:v>
                </c:pt>
                <c:pt idx="1">
                  <c:v>0.8</c:v>
                </c:pt>
                <c:pt idx="2">
                  <c:v>0.79</c:v>
                </c:pt>
                <c:pt idx="3">
                  <c:v>0.79</c:v>
                </c:pt>
                <c:pt idx="4">
                  <c:v>0.79</c:v>
                </c:pt>
                <c:pt idx="5">
                  <c:v>0.78</c:v>
                </c:pt>
                <c:pt idx="6">
                  <c:v>0.79</c:v>
                </c:pt>
                <c:pt idx="7">
                  <c:v>0.78</c:v>
                </c:pt>
                <c:pt idx="8">
                  <c:v>0.78</c:v>
                </c:pt>
                <c:pt idx="9">
                  <c:v>0.77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0.74</c:v>
                </c:pt>
                <c:pt idx="17">
                  <c:v>0.8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0.74</c:v>
                </c:pt>
                <c:pt idx="22">
                  <c:v>0.74</c:v>
                </c:pt>
                <c:pt idx="23">
                  <c:v>0.74</c:v>
                </c:pt>
                <c:pt idx="24">
                  <c:v>0.74</c:v>
                </c:pt>
                <c:pt idx="25">
                  <c:v>0.72</c:v>
                </c:pt>
                <c:pt idx="26">
                  <c:v>0.75</c:v>
                </c:pt>
                <c:pt idx="27">
                  <c:v>0.74</c:v>
                </c:pt>
                <c:pt idx="28">
                  <c:v>0.72</c:v>
                </c:pt>
                <c:pt idx="29">
                  <c:v>0.73</c:v>
                </c:pt>
                <c:pt idx="30">
                  <c:v>0.74</c:v>
                </c:pt>
                <c:pt idx="31">
                  <c:v>0.74</c:v>
                </c:pt>
                <c:pt idx="32">
                  <c:v>0.76</c:v>
                </c:pt>
                <c:pt idx="33">
                  <c:v>0.76</c:v>
                </c:pt>
                <c:pt idx="34">
                  <c:v>0.75</c:v>
                </c:pt>
                <c:pt idx="35">
                  <c:v>0.75</c:v>
                </c:pt>
                <c:pt idx="36">
                  <c:v>0.75</c:v>
                </c:pt>
                <c:pt idx="37">
                  <c:v>0.75</c:v>
                </c:pt>
                <c:pt idx="38">
                  <c:v>0.74</c:v>
                </c:pt>
                <c:pt idx="39">
                  <c:v>0.74</c:v>
                </c:pt>
                <c:pt idx="40">
                  <c:v>0.74</c:v>
                </c:pt>
                <c:pt idx="41">
                  <c:v>0.74</c:v>
                </c:pt>
                <c:pt idx="42">
                  <c:v>0.77</c:v>
                </c:pt>
                <c:pt idx="43">
                  <c:v>0.75</c:v>
                </c:pt>
                <c:pt idx="44">
                  <c:v>0.75</c:v>
                </c:pt>
                <c:pt idx="45">
                  <c:v>0.74</c:v>
                </c:pt>
                <c:pt idx="46">
                  <c:v>0.74</c:v>
                </c:pt>
                <c:pt idx="47">
                  <c:v>0.74</c:v>
                </c:pt>
                <c:pt idx="48">
                  <c:v>0.75</c:v>
                </c:pt>
                <c:pt idx="49">
                  <c:v>0.75</c:v>
                </c:pt>
                <c:pt idx="50">
                  <c:v>0.75</c:v>
                </c:pt>
                <c:pt idx="51">
                  <c:v>0.74</c:v>
                </c:pt>
                <c:pt idx="52">
                  <c:v>0.73</c:v>
                </c:pt>
                <c:pt idx="53">
                  <c:v>0.71</c:v>
                </c:pt>
                <c:pt idx="54">
                  <c:v>0.7</c:v>
                </c:pt>
                <c:pt idx="55">
                  <c:v>0.7</c:v>
                </c:pt>
                <c:pt idx="56">
                  <c:v>0.71</c:v>
                </c:pt>
                <c:pt idx="57">
                  <c:v>0.7</c:v>
                </c:pt>
                <c:pt idx="58">
                  <c:v>0.68</c:v>
                </c:pt>
                <c:pt idx="59">
                  <c:v>0.68</c:v>
                </c:pt>
                <c:pt idx="60">
                  <c:v>0.69</c:v>
                </c:pt>
                <c:pt idx="61">
                  <c:v>0.69</c:v>
                </c:pt>
                <c:pt idx="62">
                  <c:v>0.7</c:v>
                </c:pt>
                <c:pt idx="63">
                  <c:v>0.68</c:v>
                </c:pt>
                <c:pt idx="64">
                  <c:v>0.69</c:v>
                </c:pt>
                <c:pt idx="65">
                  <c:v>0.68</c:v>
                </c:pt>
                <c:pt idx="66">
                  <c:v>0.7</c:v>
                </c:pt>
                <c:pt idx="67">
                  <c:v>0.69</c:v>
                </c:pt>
                <c:pt idx="68">
                  <c:v>0.7</c:v>
                </c:pt>
                <c:pt idx="69">
                  <c:v>0.68</c:v>
                </c:pt>
                <c:pt idx="70">
                  <c:v>0.68</c:v>
                </c:pt>
                <c:pt idx="71">
                  <c:v>0.68</c:v>
                </c:pt>
                <c:pt idx="72">
                  <c:v>0.68</c:v>
                </c:pt>
                <c:pt idx="73">
                  <c:v>0.68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0.66</c:v>
                </c:pt>
                <c:pt idx="78">
                  <c:v>0.65</c:v>
                </c:pt>
                <c:pt idx="79">
                  <c:v>0.64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0.63</c:v>
                </c:pt>
                <c:pt idx="84">
                  <c:v>0.64</c:v>
                </c:pt>
                <c:pt idx="85">
                  <c:v>0.6</c:v>
                </c:pt>
                <c:pt idx="86">
                  <c:v>0.61</c:v>
                </c:pt>
                <c:pt idx="87">
                  <c:v>0.59</c:v>
                </c:pt>
                <c:pt idx="88">
                  <c:v>0.56999999999999995</c:v>
                </c:pt>
                <c:pt idx="89">
                  <c:v>0.56999999999999995</c:v>
                </c:pt>
                <c:pt idx="90">
                  <c:v>0.57999999999999996</c:v>
                </c:pt>
                <c:pt idx="91">
                  <c:v>0.56999999999999995</c:v>
                </c:pt>
                <c:pt idx="92">
                  <c:v>0.62</c:v>
                </c:pt>
                <c:pt idx="93">
                  <c:v>0.62</c:v>
                </c:pt>
                <c:pt idx="94">
                  <c:v>0.64</c:v>
                </c:pt>
                <c:pt idx="95">
                  <c:v>0.65</c:v>
                </c:pt>
                <c:pt idx="96">
                  <c:v>0.72</c:v>
                </c:pt>
                <c:pt idx="97">
                  <c:v>0.74</c:v>
                </c:pt>
                <c:pt idx="98">
                  <c:v>0.73</c:v>
                </c:pt>
                <c:pt idx="99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3-4693-9A2F-68C384387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7834688"/>
        <c:axId val="527840592"/>
      </c:stockChart>
      <c:dateAx>
        <c:axId val="527834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0592"/>
        <c:crosses val="autoZero"/>
        <c:auto val="1"/>
        <c:lblOffset val="100"/>
        <c:baseTimeUnit val="days"/>
      </c:dateAx>
      <c:valAx>
        <c:axId val="527840592"/>
        <c:scaling>
          <c:orientation val="minMax"/>
          <c:max val="0.82"/>
          <c:min val="0.560000000000000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3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主頁面!$S$1</c:f>
          <c:strCache>
            <c:ptCount val="1"/>
            <c:pt idx="0">
              <c:v>0316 東方海外(國際)有限公司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主頁面!$T$2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主頁面!$S$3:$S$101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主頁面!$T$3:$T$101</c:f>
              <c:numCache>
                <c:formatCode>General</c:formatCode>
                <c:ptCount val="99"/>
                <c:pt idx="0">
                  <c:v>41</c:v>
                </c:pt>
                <c:pt idx="1">
                  <c:v>39</c:v>
                </c:pt>
                <c:pt idx="2">
                  <c:v>38.1</c:v>
                </c:pt>
                <c:pt idx="3">
                  <c:v>38</c:v>
                </c:pt>
                <c:pt idx="4">
                  <c:v>38.299999999999997</c:v>
                </c:pt>
                <c:pt idx="5">
                  <c:v>37.799999999999997</c:v>
                </c:pt>
                <c:pt idx="6">
                  <c:v>37.200000000000003</c:v>
                </c:pt>
                <c:pt idx="7">
                  <c:v>38.200000000000003</c:v>
                </c:pt>
                <c:pt idx="8">
                  <c:v>38.85</c:v>
                </c:pt>
                <c:pt idx="9">
                  <c:v>39.75</c:v>
                </c:pt>
                <c:pt idx="10">
                  <c:v>40.299999999999997</c:v>
                </c:pt>
                <c:pt idx="11">
                  <c:v>40.799999999999997</c:v>
                </c:pt>
                <c:pt idx="12">
                  <c:v>40.85</c:v>
                </c:pt>
                <c:pt idx="13">
                  <c:v>41.5</c:v>
                </c:pt>
                <c:pt idx="14">
                  <c:v>42</c:v>
                </c:pt>
                <c:pt idx="15">
                  <c:v>40.799999999999997</c:v>
                </c:pt>
                <c:pt idx="16">
                  <c:v>39.85</c:v>
                </c:pt>
                <c:pt idx="17">
                  <c:v>39.85</c:v>
                </c:pt>
                <c:pt idx="18">
                  <c:v>40.549999999999997</c:v>
                </c:pt>
                <c:pt idx="19">
                  <c:v>40.15</c:v>
                </c:pt>
                <c:pt idx="20">
                  <c:v>41.3</c:v>
                </c:pt>
                <c:pt idx="21">
                  <c:v>41.8</c:v>
                </c:pt>
                <c:pt idx="22">
                  <c:v>43.85</c:v>
                </c:pt>
                <c:pt idx="23">
                  <c:v>44</c:v>
                </c:pt>
                <c:pt idx="24">
                  <c:v>43.7</c:v>
                </c:pt>
                <c:pt idx="25">
                  <c:v>47.2</c:v>
                </c:pt>
                <c:pt idx="26">
                  <c:v>46.9</c:v>
                </c:pt>
                <c:pt idx="27">
                  <c:v>47.5</c:v>
                </c:pt>
                <c:pt idx="28">
                  <c:v>49.3</c:v>
                </c:pt>
                <c:pt idx="29">
                  <c:v>49.15</c:v>
                </c:pt>
                <c:pt idx="30">
                  <c:v>47.4</c:v>
                </c:pt>
                <c:pt idx="31">
                  <c:v>48.85</c:v>
                </c:pt>
                <c:pt idx="32">
                  <c:v>50.6</c:v>
                </c:pt>
                <c:pt idx="33">
                  <c:v>49.2</c:v>
                </c:pt>
                <c:pt idx="34">
                  <c:v>48.75</c:v>
                </c:pt>
                <c:pt idx="35">
                  <c:v>47.9</c:v>
                </c:pt>
                <c:pt idx="36">
                  <c:v>47.1</c:v>
                </c:pt>
                <c:pt idx="37">
                  <c:v>48.25</c:v>
                </c:pt>
                <c:pt idx="38">
                  <c:v>48.5</c:v>
                </c:pt>
                <c:pt idx="39">
                  <c:v>48.6</c:v>
                </c:pt>
                <c:pt idx="40">
                  <c:v>48.45</c:v>
                </c:pt>
                <c:pt idx="41">
                  <c:v>47.9</c:v>
                </c:pt>
                <c:pt idx="42">
                  <c:v>48.5</c:v>
                </c:pt>
                <c:pt idx="43">
                  <c:v>47.75</c:v>
                </c:pt>
                <c:pt idx="44">
                  <c:v>48.4</c:v>
                </c:pt>
                <c:pt idx="45">
                  <c:v>49</c:v>
                </c:pt>
                <c:pt idx="46">
                  <c:v>49.4</c:v>
                </c:pt>
                <c:pt idx="47">
                  <c:v>55.55</c:v>
                </c:pt>
                <c:pt idx="48">
                  <c:v>52.8</c:v>
                </c:pt>
                <c:pt idx="49">
                  <c:v>52.35</c:v>
                </c:pt>
                <c:pt idx="50">
                  <c:v>52</c:v>
                </c:pt>
                <c:pt idx="51">
                  <c:v>52.9</c:v>
                </c:pt>
                <c:pt idx="52">
                  <c:v>53.6</c:v>
                </c:pt>
                <c:pt idx="53">
                  <c:v>52.95</c:v>
                </c:pt>
                <c:pt idx="54">
                  <c:v>53.05</c:v>
                </c:pt>
                <c:pt idx="55">
                  <c:v>57.95</c:v>
                </c:pt>
                <c:pt idx="56">
                  <c:v>57</c:v>
                </c:pt>
                <c:pt idx="57">
                  <c:v>54.95</c:v>
                </c:pt>
                <c:pt idx="58">
                  <c:v>56.6</c:v>
                </c:pt>
                <c:pt idx="59">
                  <c:v>58.3</c:v>
                </c:pt>
                <c:pt idx="60">
                  <c:v>74.5</c:v>
                </c:pt>
                <c:pt idx="61">
                  <c:v>72.25</c:v>
                </c:pt>
                <c:pt idx="62">
                  <c:v>71.650000000000006</c:v>
                </c:pt>
                <c:pt idx="63">
                  <c:v>71.7</c:v>
                </c:pt>
                <c:pt idx="64">
                  <c:v>72.05</c:v>
                </c:pt>
                <c:pt idx="65">
                  <c:v>72.5</c:v>
                </c:pt>
                <c:pt idx="66">
                  <c:v>72.7</c:v>
                </c:pt>
                <c:pt idx="67">
                  <c:v>73</c:v>
                </c:pt>
                <c:pt idx="68">
                  <c:v>73</c:v>
                </c:pt>
                <c:pt idx="69">
                  <c:v>73.099999999999994</c:v>
                </c:pt>
                <c:pt idx="70">
                  <c:v>72.900000000000006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72.900000000000006</c:v>
                </c:pt>
                <c:pt idx="76">
                  <c:v>72.650000000000006</c:v>
                </c:pt>
                <c:pt idx="77">
                  <c:v>72.599999999999994</c:v>
                </c:pt>
                <c:pt idx="78">
                  <c:v>72.5</c:v>
                </c:pt>
                <c:pt idx="79">
                  <c:v>72.099999999999994</c:v>
                </c:pt>
                <c:pt idx="80">
                  <c:v>72.400000000000006</c:v>
                </c:pt>
                <c:pt idx="81">
                  <c:v>72.3</c:v>
                </c:pt>
                <c:pt idx="82">
                  <c:v>72.3</c:v>
                </c:pt>
                <c:pt idx="83">
                  <c:v>72.3</c:v>
                </c:pt>
                <c:pt idx="84">
                  <c:v>72</c:v>
                </c:pt>
                <c:pt idx="85">
                  <c:v>71.5</c:v>
                </c:pt>
                <c:pt idx="86">
                  <c:v>71.5</c:v>
                </c:pt>
                <c:pt idx="87">
                  <c:v>71.5</c:v>
                </c:pt>
                <c:pt idx="88">
                  <c:v>71.45</c:v>
                </c:pt>
                <c:pt idx="89">
                  <c:v>71.45</c:v>
                </c:pt>
                <c:pt idx="90">
                  <c:v>72</c:v>
                </c:pt>
                <c:pt idx="91">
                  <c:v>72.2</c:v>
                </c:pt>
                <c:pt idx="92">
                  <c:v>72.099999999999994</c:v>
                </c:pt>
                <c:pt idx="93">
                  <c:v>72.2</c:v>
                </c:pt>
                <c:pt idx="94">
                  <c:v>71.95</c:v>
                </c:pt>
                <c:pt idx="95">
                  <c:v>72.05</c:v>
                </c:pt>
                <c:pt idx="96">
                  <c:v>72.099999999999994</c:v>
                </c:pt>
                <c:pt idx="97">
                  <c:v>72.349999999999994</c:v>
                </c:pt>
                <c:pt idx="98">
                  <c:v>72.8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2F-40A9-8283-A1C64F6D12E6}"/>
            </c:ext>
          </c:extLst>
        </c:ser>
        <c:ser>
          <c:idx val="1"/>
          <c:order val="1"/>
          <c:tx>
            <c:strRef>
              <c:f>主頁面!$U$2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主頁面!$S$3:$S$101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主頁面!$U$3:$U$101</c:f>
              <c:numCache>
                <c:formatCode>General</c:formatCode>
                <c:ptCount val="99"/>
                <c:pt idx="0">
                  <c:v>41</c:v>
                </c:pt>
                <c:pt idx="1">
                  <c:v>38.9</c:v>
                </c:pt>
                <c:pt idx="2">
                  <c:v>38.299999999999997</c:v>
                </c:pt>
                <c:pt idx="3">
                  <c:v>38.700000000000003</c:v>
                </c:pt>
                <c:pt idx="4">
                  <c:v>38.299999999999997</c:v>
                </c:pt>
                <c:pt idx="5">
                  <c:v>37.799999999999997</c:v>
                </c:pt>
                <c:pt idx="6">
                  <c:v>38</c:v>
                </c:pt>
                <c:pt idx="7">
                  <c:v>38.950000000000003</c:v>
                </c:pt>
                <c:pt idx="8">
                  <c:v>39.85</c:v>
                </c:pt>
                <c:pt idx="9">
                  <c:v>40.5</c:v>
                </c:pt>
                <c:pt idx="10">
                  <c:v>41</c:v>
                </c:pt>
                <c:pt idx="11">
                  <c:v>41.1</c:v>
                </c:pt>
                <c:pt idx="12">
                  <c:v>41.8</c:v>
                </c:pt>
                <c:pt idx="13">
                  <c:v>42.15</c:v>
                </c:pt>
                <c:pt idx="14">
                  <c:v>42</c:v>
                </c:pt>
                <c:pt idx="15">
                  <c:v>41</c:v>
                </c:pt>
                <c:pt idx="16">
                  <c:v>40.9</c:v>
                </c:pt>
                <c:pt idx="17">
                  <c:v>41.05</c:v>
                </c:pt>
                <c:pt idx="18">
                  <c:v>40.85</c:v>
                </c:pt>
                <c:pt idx="19">
                  <c:v>41.45</c:v>
                </c:pt>
                <c:pt idx="20">
                  <c:v>41.9</c:v>
                </c:pt>
                <c:pt idx="21">
                  <c:v>43.85</c:v>
                </c:pt>
                <c:pt idx="22">
                  <c:v>44.1</c:v>
                </c:pt>
                <c:pt idx="23">
                  <c:v>44.05</c:v>
                </c:pt>
                <c:pt idx="24">
                  <c:v>48.05</c:v>
                </c:pt>
                <c:pt idx="25">
                  <c:v>48</c:v>
                </c:pt>
                <c:pt idx="26">
                  <c:v>47.8</c:v>
                </c:pt>
                <c:pt idx="27">
                  <c:v>49.55</c:v>
                </c:pt>
                <c:pt idx="28">
                  <c:v>49.9</c:v>
                </c:pt>
                <c:pt idx="29">
                  <c:v>49.2</c:v>
                </c:pt>
                <c:pt idx="30">
                  <c:v>48.9</c:v>
                </c:pt>
                <c:pt idx="31">
                  <c:v>51.1</c:v>
                </c:pt>
                <c:pt idx="32">
                  <c:v>50.6</c:v>
                </c:pt>
                <c:pt idx="33">
                  <c:v>49.5</c:v>
                </c:pt>
                <c:pt idx="34">
                  <c:v>48.9</c:v>
                </c:pt>
                <c:pt idx="35">
                  <c:v>48.2</c:v>
                </c:pt>
                <c:pt idx="36">
                  <c:v>48.6</c:v>
                </c:pt>
                <c:pt idx="37">
                  <c:v>48.7</c:v>
                </c:pt>
                <c:pt idx="38">
                  <c:v>49.2</c:v>
                </c:pt>
                <c:pt idx="39">
                  <c:v>48.75</c:v>
                </c:pt>
                <c:pt idx="40">
                  <c:v>49.25</c:v>
                </c:pt>
                <c:pt idx="41">
                  <c:v>48.15</c:v>
                </c:pt>
                <c:pt idx="42">
                  <c:v>48.5</c:v>
                </c:pt>
                <c:pt idx="43">
                  <c:v>48.55</c:v>
                </c:pt>
                <c:pt idx="44">
                  <c:v>48.45</c:v>
                </c:pt>
                <c:pt idx="45">
                  <c:v>49.35</c:v>
                </c:pt>
                <c:pt idx="46">
                  <c:v>52.7</c:v>
                </c:pt>
                <c:pt idx="47">
                  <c:v>56.15</c:v>
                </c:pt>
                <c:pt idx="48">
                  <c:v>53.5</c:v>
                </c:pt>
                <c:pt idx="49">
                  <c:v>52.35</c:v>
                </c:pt>
                <c:pt idx="50">
                  <c:v>53.1</c:v>
                </c:pt>
                <c:pt idx="51">
                  <c:v>53.8</c:v>
                </c:pt>
                <c:pt idx="52">
                  <c:v>53.85</c:v>
                </c:pt>
                <c:pt idx="53">
                  <c:v>54.65</c:v>
                </c:pt>
                <c:pt idx="54">
                  <c:v>57.65</c:v>
                </c:pt>
                <c:pt idx="55">
                  <c:v>58.8</c:v>
                </c:pt>
                <c:pt idx="56">
                  <c:v>57.5</c:v>
                </c:pt>
                <c:pt idx="57">
                  <c:v>57.75</c:v>
                </c:pt>
                <c:pt idx="58">
                  <c:v>57.5</c:v>
                </c:pt>
                <c:pt idx="59">
                  <c:v>61</c:v>
                </c:pt>
                <c:pt idx="60">
                  <c:v>75</c:v>
                </c:pt>
                <c:pt idx="61">
                  <c:v>72.349999999999994</c:v>
                </c:pt>
                <c:pt idx="62">
                  <c:v>72</c:v>
                </c:pt>
                <c:pt idx="63">
                  <c:v>72</c:v>
                </c:pt>
                <c:pt idx="64">
                  <c:v>72.45</c:v>
                </c:pt>
                <c:pt idx="65">
                  <c:v>72.849999999999994</c:v>
                </c:pt>
                <c:pt idx="66">
                  <c:v>73.05</c:v>
                </c:pt>
                <c:pt idx="67">
                  <c:v>73.05</c:v>
                </c:pt>
                <c:pt idx="68">
                  <c:v>73.25</c:v>
                </c:pt>
                <c:pt idx="69">
                  <c:v>73.099999999999994</c:v>
                </c:pt>
                <c:pt idx="70">
                  <c:v>73.2</c:v>
                </c:pt>
                <c:pt idx="71">
                  <c:v>73.2</c:v>
                </c:pt>
                <c:pt idx="72">
                  <c:v>73.150000000000006</c:v>
                </c:pt>
                <c:pt idx="73">
                  <c:v>73.099999999999994</c:v>
                </c:pt>
                <c:pt idx="74">
                  <c:v>73</c:v>
                </c:pt>
                <c:pt idx="75">
                  <c:v>73.05</c:v>
                </c:pt>
                <c:pt idx="76">
                  <c:v>72.95</c:v>
                </c:pt>
                <c:pt idx="77">
                  <c:v>72.599999999999994</c:v>
                </c:pt>
                <c:pt idx="78">
                  <c:v>72.5</c:v>
                </c:pt>
                <c:pt idx="79">
                  <c:v>72.5</c:v>
                </c:pt>
                <c:pt idx="80">
                  <c:v>72.5</c:v>
                </c:pt>
                <c:pt idx="81">
                  <c:v>72.3</c:v>
                </c:pt>
                <c:pt idx="82">
                  <c:v>72.45</c:v>
                </c:pt>
                <c:pt idx="83">
                  <c:v>72.3</c:v>
                </c:pt>
                <c:pt idx="84">
                  <c:v>72.099999999999994</c:v>
                </c:pt>
                <c:pt idx="85">
                  <c:v>71.55</c:v>
                </c:pt>
                <c:pt idx="86">
                  <c:v>71.5</c:v>
                </c:pt>
                <c:pt idx="87">
                  <c:v>71.5</c:v>
                </c:pt>
                <c:pt idx="88">
                  <c:v>71.5</c:v>
                </c:pt>
                <c:pt idx="89">
                  <c:v>72.150000000000006</c:v>
                </c:pt>
                <c:pt idx="90">
                  <c:v>72.05</c:v>
                </c:pt>
                <c:pt idx="91">
                  <c:v>72.2</c:v>
                </c:pt>
                <c:pt idx="92">
                  <c:v>72.099999999999994</c:v>
                </c:pt>
                <c:pt idx="93">
                  <c:v>72.2</c:v>
                </c:pt>
                <c:pt idx="94">
                  <c:v>72.8</c:v>
                </c:pt>
                <c:pt idx="95">
                  <c:v>72.45</c:v>
                </c:pt>
                <c:pt idx="96">
                  <c:v>72.599999999999994</c:v>
                </c:pt>
                <c:pt idx="97">
                  <c:v>72.849999999999994</c:v>
                </c:pt>
                <c:pt idx="98">
                  <c:v>72.8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2F-40A9-8283-A1C64F6D12E6}"/>
            </c:ext>
          </c:extLst>
        </c:ser>
        <c:ser>
          <c:idx val="2"/>
          <c:order val="2"/>
          <c:tx>
            <c:strRef>
              <c:f>主頁面!$V$2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主頁面!$S$3:$S$101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主頁面!$V$3:$V$101</c:f>
              <c:numCache>
                <c:formatCode>General</c:formatCode>
                <c:ptCount val="99"/>
                <c:pt idx="0">
                  <c:v>39</c:v>
                </c:pt>
                <c:pt idx="1">
                  <c:v>37.6</c:v>
                </c:pt>
                <c:pt idx="2">
                  <c:v>37.5</c:v>
                </c:pt>
                <c:pt idx="3">
                  <c:v>38</c:v>
                </c:pt>
                <c:pt idx="4">
                  <c:v>37.85</c:v>
                </c:pt>
                <c:pt idx="5">
                  <c:v>36.85</c:v>
                </c:pt>
                <c:pt idx="6">
                  <c:v>36.9</c:v>
                </c:pt>
                <c:pt idx="7">
                  <c:v>38.200000000000003</c:v>
                </c:pt>
                <c:pt idx="8">
                  <c:v>38.799999999999997</c:v>
                </c:pt>
                <c:pt idx="9">
                  <c:v>39.75</c:v>
                </c:pt>
                <c:pt idx="10">
                  <c:v>40.299999999999997</c:v>
                </c:pt>
                <c:pt idx="11">
                  <c:v>40</c:v>
                </c:pt>
                <c:pt idx="12">
                  <c:v>40.85</c:v>
                </c:pt>
                <c:pt idx="13">
                  <c:v>41.5</c:v>
                </c:pt>
                <c:pt idx="14">
                  <c:v>41</c:v>
                </c:pt>
                <c:pt idx="15">
                  <c:v>39.65</c:v>
                </c:pt>
                <c:pt idx="16">
                  <c:v>39.85</c:v>
                </c:pt>
                <c:pt idx="17">
                  <c:v>39.450000000000003</c:v>
                </c:pt>
                <c:pt idx="18">
                  <c:v>39.950000000000003</c:v>
                </c:pt>
                <c:pt idx="19">
                  <c:v>40.1</c:v>
                </c:pt>
                <c:pt idx="20">
                  <c:v>41.3</c:v>
                </c:pt>
                <c:pt idx="21">
                  <c:v>41.8</c:v>
                </c:pt>
                <c:pt idx="22">
                  <c:v>43.25</c:v>
                </c:pt>
                <c:pt idx="23">
                  <c:v>43.5</c:v>
                </c:pt>
                <c:pt idx="24">
                  <c:v>43.35</c:v>
                </c:pt>
                <c:pt idx="25">
                  <c:v>46</c:v>
                </c:pt>
                <c:pt idx="26">
                  <c:v>46.6</c:v>
                </c:pt>
                <c:pt idx="27">
                  <c:v>47.3</c:v>
                </c:pt>
                <c:pt idx="28">
                  <c:v>48.1</c:v>
                </c:pt>
                <c:pt idx="29">
                  <c:v>48.3</c:v>
                </c:pt>
                <c:pt idx="30">
                  <c:v>47.4</c:v>
                </c:pt>
                <c:pt idx="31">
                  <c:v>48.7</c:v>
                </c:pt>
                <c:pt idx="32">
                  <c:v>49.15</c:v>
                </c:pt>
                <c:pt idx="33">
                  <c:v>48.55</c:v>
                </c:pt>
                <c:pt idx="34">
                  <c:v>46.35</c:v>
                </c:pt>
                <c:pt idx="35">
                  <c:v>47.15</c:v>
                </c:pt>
                <c:pt idx="36">
                  <c:v>47.1</c:v>
                </c:pt>
                <c:pt idx="37">
                  <c:v>47.7</c:v>
                </c:pt>
                <c:pt idx="38">
                  <c:v>47.65</c:v>
                </c:pt>
                <c:pt idx="39">
                  <c:v>47.7</c:v>
                </c:pt>
                <c:pt idx="40">
                  <c:v>47.95</c:v>
                </c:pt>
                <c:pt idx="41">
                  <c:v>47.6</c:v>
                </c:pt>
                <c:pt idx="42">
                  <c:v>47.7</c:v>
                </c:pt>
                <c:pt idx="43">
                  <c:v>47.75</c:v>
                </c:pt>
                <c:pt idx="44">
                  <c:v>47.9</c:v>
                </c:pt>
                <c:pt idx="45">
                  <c:v>48.5</c:v>
                </c:pt>
                <c:pt idx="46">
                  <c:v>49.2</c:v>
                </c:pt>
                <c:pt idx="47">
                  <c:v>52.25</c:v>
                </c:pt>
                <c:pt idx="48">
                  <c:v>52.2</c:v>
                </c:pt>
                <c:pt idx="49">
                  <c:v>51.1</c:v>
                </c:pt>
                <c:pt idx="50">
                  <c:v>51.05</c:v>
                </c:pt>
                <c:pt idx="51">
                  <c:v>52.35</c:v>
                </c:pt>
                <c:pt idx="52">
                  <c:v>52.5</c:v>
                </c:pt>
                <c:pt idx="53">
                  <c:v>52.7</c:v>
                </c:pt>
                <c:pt idx="54">
                  <c:v>53.05</c:v>
                </c:pt>
                <c:pt idx="55">
                  <c:v>56.75</c:v>
                </c:pt>
                <c:pt idx="56">
                  <c:v>54.7</c:v>
                </c:pt>
                <c:pt idx="57">
                  <c:v>54.95</c:v>
                </c:pt>
                <c:pt idx="58">
                  <c:v>56.35</c:v>
                </c:pt>
                <c:pt idx="59">
                  <c:v>58.1</c:v>
                </c:pt>
                <c:pt idx="60">
                  <c:v>70.2</c:v>
                </c:pt>
                <c:pt idx="61">
                  <c:v>71.5</c:v>
                </c:pt>
                <c:pt idx="62">
                  <c:v>71.55</c:v>
                </c:pt>
                <c:pt idx="63">
                  <c:v>71.55</c:v>
                </c:pt>
                <c:pt idx="64">
                  <c:v>71.7</c:v>
                </c:pt>
                <c:pt idx="65">
                  <c:v>71.849999999999994</c:v>
                </c:pt>
                <c:pt idx="66">
                  <c:v>72.5</c:v>
                </c:pt>
                <c:pt idx="67">
                  <c:v>72.8</c:v>
                </c:pt>
                <c:pt idx="68">
                  <c:v>72.900000000000006</c:v>
                </c:pt>
                <c:pt idx="69">
                  <c:v>72.95</c:v>
                </c:pt>
                <c:pt idx="70">
                  <c:v>72.75</c:v>
                </c:pt>
                <c:pt idx="71">
                  <c:v>72.900000000000006</c:v>
                </c:pt>
                <c:pt idx="72">
                  <c:v>72.849999999999994</c:v>
                </c:pt>
                <c:pt idx="73">
                  <c:v>72.75</c:v>
                </c:pt>
                <c:pt idx="74">
                  <c:v>72.650000000000006</c:v>
                </c:pt>
                <c:pt idx="75">
                  <c:v>72.599999999999994</c:v>
                </c:pt>
                <c:pt idx="76">
                  <c:v>72.400000000000006</c:v>
                </c:pt>
                <c:pt idx="77">
                  <c:v>72.05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72.05</c:v>
                </c:pt>
                <c:pt idx="82">
                  <c:v>72.05</c:v>
                </c:pt>
                <c:pt idx="83">
                  <c:v>72</c:v>
                </c:pt>
                <c:pt idx="84">
                  <c:v>71.400000000000006</c:v>
                </c:pt>
                <c:pt idx="85">
                  <c:v>71.099999999999994</c:v>
                </c:pt>
                <c:pt idx="86">
                  <c:v>71.3</c:v>
                </c:pt>
                <c:pt idx="87">
                  <c:v>71.3</c:v>
                </c:pt>
                <c:pt idx="88">
                  <c:v>71.400000000000006</c:v>
                </c:pt>
                <c:pt idx="89">
                  <c:v>71.3</c:v>
                </c:pt>
                <c:pt idx="90">
                  <c:v>71.8</c:v>
                </c:pt>
                <c:pt idx="91">
                  <c:v>71.849999999999994</c:v>
                </c:pt>
                <c:pt idx="92">
                  <c:v>72.099999999999994</c:v>
                </c:pt>
                <c:pt idx="93">
                  <c:v>71.8</c:v>
                </c:pt>
                <c:pt idx="94">
                  <c:v>71.900000000000006</c:v>
                </c:pt>
                <c:pt idx="95">
                  <c:v>71.900000000000006</c:v>
                </c:pt>
                <c:pt idx="96">
                  <c:v>72.099999999999994</c:v>
                </c:pt>
                <c:pt idx="97">
                  <c:v>72.349999999999994</c:v>
                </c:pt>
                <c:pt idx="98">
                  <c:v>72.349999999999994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2F-40A9-8283-A1C64F6D12E6}"/>
            </c:ext>
          </c:extLst>
        </c:ser>
        <c:ser>
          <c:idx val="3"/>
          <c:order val="3"/>
          <c:tx>
            <c:strRef>
              <c:f>主頁面!$W$2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主頁面!$S$3:$S$101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主頁面!$W$3:$W$101</c:f>
              <c:numCache>
                <c:formatCode>General</c:formatCode>
                <c:ptCount val="99"/>
                <c:pt idx="0">
                  <c:v>39</c:v>
                </c:pt>
                <c:pt idx="1">
                  <c:v>38.25</c:v>
                </c:pt>
                <c:pt idx="2">
                  <c:v>38.25</c:v>
                </c:pt>
                <c:pt idx="3">
                  <c:v>38.299999999999997</c:v>
                </c:pt>
                <c:pt idx="4">
                  <c:v>38</c:v>
                </c:pt>
                <c:pt idx="5">
                  <c:v>37.5</c:v>
                </c:pt>
                <c:pt idx="6">
                  <c:v>38</c:v>
                </c:pt>
                <c:pt idx="7">
                  <c:v>38.9</c:v>
                </c:pt>
                <c:pt idx="8">
                  <c:v>39.85</c:v>
                </c:pt>
                <c:pt idx="9">
                  <c:v>40.450000000000003</c:v>
                </c:pt>
                <c:pt idx="10">
                  <c:v>40.75</c:v>
                </c:pt>
                <c:pt idx="11">
                  <c:v>40.799999999999997</c:v>
                </c:pt>
                <c:pt idx="12">
                  <c:v>41.5</c:v>
                </c:pt>
                <c:pt idx="13">
                  <c:v>42</c:v>
                </c:pt>
                <c:pt idx="14">
                  <c:v>41.2</c:v>
                </c:pt>
                <c:pt idx="15">
                  <c:v>39.65</c:v>
                </c:pt>
                <c:pt idx="16">
                  <c:v>40.049999999999997</c:v>
                </c:pt>
                <c:pt idx="17">
                  <c:v>40.5</c:v>
                </c:pt>
                <c:pt idx="18">
                  <c:v>40.25</c:v>
                </c:pt>
                <c:pt idx="19">
                  <c:v>41.4</c:v>
                </c:pt>
                <c:pt idx="20">
                  <c:v>41.5</c:v>
                </c:pt>
                <c:pt idx="21">
                  <c:v>43.85</c:v>
                </c:pt>
                <c:pt idx="22">
                  <c:v>44</c:v>
                </c:pt>
                <c:pt idx="23">
                  <c:v>43.85</c:v>
                </c:pt>
                <c:pt idx="24">
                  <c:v>46.85</c:v>
                </c:pt>
                <c:pt idx="25">
                  <c:v>46.9</c:v>
                </c:pt>
                <c:pt idx="26">
                  <c:v>47.35</c:v>
                </c:pt>
                <c:pt idx="27">
                  <c:v>49.05</c:v>
                </c:pt>
                <c:pt idx="28">
                  <c:v>49.05</c:v>
                </c:pt>
                <c:pt idx="29">
                  <c:v>48.35</c:v>
                </c:pt>
                <c:pt idx="30">
                  <c:v>48.2</c:v>
                </c:pt>
                <c:pt idx="31">
                  <c:v>50.6</c:v>
                </c:pt>
                <c:pt idx="32">
                  <c:v>49.45</c:v>
                </c:pt>
                <c:pt idx="33">
                  <c:v>48.75</c:v>
                </c:pt>
                <c:pt idx="34">
                  <c:v>48</c:v>
                </c:pt>
                <c:pt idx="35">
                  <c:v>47.3</c:v>
                </c:pt>
                <c:pt idx="36">
                  <c:v>48.1</c:v>
                </c:pt>
                <c:pt idx="37">
                  <c:v>48.65</c:v>
                </c:pt>
                <c:pt idx="38">
                  <c:v>48.6</c:v>
                </c:pt>
                <c:pt idx="39">
                  <c:v>48.45</c:v>
                </c:pt>
                <c:pt idx="40">
                  <c:v>48</c:v>
                </c:pt>
                <c:pt idx="41">
                  <c:v>47.9</c:v>
                </c:pt>
                <c:pt idx="42">
                  <c:v>48</c:v>
                </c:pt>
                <c:pt idx="43">
                  <c:v>48.3</c:v>
                </c:pt>
                <c:pt idx="44">
                  <c:v>48.4</c:v>
                </c:pt>
                <c:pt idx="45">
                  <c:v>48.7</c:v>
                </c:pt>
                <c:pt idx="46">
                  <c:v>52.65</c:v>
                </c:pt>
                <c:pt idx="47">
                  <c:v>53.55</c:v>
                </c:pt>
                <c:pt idx="48">
                  <c:v>52.6</c:v>
                </c:pt>
                <c:pt idx="49">
                  <c:v>51.55</c:v>
                </c:pt>
                <c:pt idx="50">
                  <c:v>52.75</c:v>
                </c:pt>
                <c:pt idx="51">
                  <c:v>53.6</c:v>
                </c:pt>
                <c:pt idx="52">
                  <c:v>52.5</c:v>
                </c:pt>
                <c:pt idx="53">
                  <c:v>54</c:v>
                </c:pt>
                <c:pt idx="54">
                  <c:v>56</c:v>
                </c:pt>
                <c:pt idx="55">
                  <c:v>57.15</c:v>
                </c:pt>
                <c:pt idx="56">
                  <c:v>54.7</c:v>
                </c:pt>
                <c:pt idx="57">
                  <c:v>56.95</c:v>
                </c:pt>
                <c:pt idx="58">
                  <c:v>57.1</c:v>
                </c:pt>
                <c:pt idx="59">
                  <c:v>60</c:v>
                </c:pt>
                <c:pt idx="60">
                  <c:v>72</c:v>
                </c:pt>
                <c:pt idx="61">
                  <c:v>71.650000000000006</c:v>
                </c:pt>
                <c:pt idx="62">
                  <c:v>71.55</c:v>
                </c:pt>
                <c:pt idx="63">
                  <c:v>72</c:v>
                </c:pt>
                <c:pt idx="64">
                  <c:v>72.45</c:v>
                </c:pt>
                <c:pt idx="65">
                  <c:v>72.75</c:v>
                </c:pt>
                <c:pt idx="66">
                  <c:v>73</c:v>
                </c:pt>
                <c:pt idx="67">
                  <c:v>73</c:v>
                </c:pt>
                <c:pt idx="68">
                  <c:v>73.099999999999994</c:v>
                </c:pt>
                <c:pt idx="69">
                  <c:v>73.099999999999994</c:v>
                </c:pt>
                <c:pt idx="70">
                  <c:v>72.900000000000006</c:v>
                </c:pt>
                <c:pt idx="71">
                  <c:v>73.099999999999994</c:v>
                </c:pt>
                <c:pt idx="72">
                  <c:v>72.95</c:v>
                </c:pt>
                <c:pt idx="73">
                  <c:v>72.900000000000006</c:v>
                </c:pt>
                <c:pt idx="74">
                  <c:v>72.900000000000006</c:v>
                </c:pt>
                <c:pt idx="75">
                  <c:v>72.75</c:v>
                </c:pt>
                <c:pt idx="76">
                  <c:v>72.45</c:v>
                </c:pt>
                <c:pt idx="77">
                  <c:v>72.25</c:v>
                </c:pt>
                <c:pt idx="78">
                  <c:v>72.099999999999994</c:v>
                </c:pt>
                <c:pt idx="79">
                  <c:v>72.2</c:v>
                </c:pt>
                <c:pt idx="80">
                  <c:v>72.2</c:v>
                </c:pt>
                <c:pt idx="81">
                  <c:v>72.2</c:v>
                </c:pt>
                <c:pt idx="82">
                  <c:v>72.099999999999994</c:v>
                </c:pt>
                <c:pt idx="83">
                  <c:v>72</c:v>
                </c:pt>
                <c:pt idx="84">
                  <c:v>71.5</c:v>
                </c:pt>
                <c:pt idx="85">
                  <c:v>71.5</c:v>
                </c:pt>
                <c:pt idx="86">
                  <c:v>71.45</c:v>
                </c:pt>
                <c:pt idx="87">
                  <c:v>71.5</c:v>
                </c:pt>
                <c:pt idx="88">
                  <c:v>71.5</c:v>
                </c:pt>
                <c:pt idx="89">
                  <c:v>72</c:v>
                </c:pt>
                <c:pt idx="90">
                  <c:v>72</c:v>
                </c:pt>
                <c:pt idx="91">
                  <c:v>72.2</c:v>
                </c:pt>
                <c:pt idx="92">
                  <c:v>72.099999999999994</c:v>
                </c:pt>
                <c:pt idx="93">
                  <c:v>71.95</c:v>
                </c:pt>
                <c:pt idx="94">
                  <c:v>72.05</c:v>
                </c:pt>
                <c:pt idx="95">
                  <c:v>72.2</c:v>
                </c:pt>
                <c:pt idx="96">
                  <c:v>72.3</c:v>
                </c:pt>
                <c:pt idx="97">
                  <c:v>72.849999999999994</c:v>
                </c:pt>
                <c:pt idx="98">
                  <c:v>72.400000000000006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2F-40A9-8283-A1C64F6D1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20343896"/>
        <c:axId val="420345208"/>
      </c:stockChart>
      <c:dateAx>
        <c:axId val="420343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45208"/>
        <c:crosses val="autoZero"/>
        <c:auto val="1"/>
        <c:lblOffset val="100"/>
        <c:baseTimeUnit val="days"/>
      </c:dateAx>
      <c:valAx>
        <c:axId val="420345208"/>
        <c:scaling>
          <c:orientation val="minMax"/>
          <c:max val="75"/>
          <c:min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4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主頁面!$AB$1</c:f>
          <c:strCache>
            <c:ptCount val="1"/>
            <c:pt idx="0">
              <c:v>0494 利豐有限公司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主頁面!$AC$2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主頁面!$AB$3:$AB$101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主頁面!$AC$3:$AC$101</c:f>
              <c:numCache>
                <c:formatCode>General</c:formatCode>
                <c:ptCount val="99"/>
                <c:pt idx="0">
                  <c:v>3.34</c:v>
                </c:pt>
                <c:pt idx="1">
                  <c:v>3.35</c:v>
                </c:pt>
                <c:pt idx="2">
                  <c:v>3.27</c:v>
                </c:pt>
                <c:pt idx="3">
                  <c:v>3.29</c:v>
                </c:pt>
                <c:pt idx="4">
                  <c:v>3.29</c:v>
                </c:pt>
                <c:pt idx="5">
                  <c:v>3.25</c:v>
                </c:pt>
                <c:pt idx="6">
                  <c:v>3.23</c:v>
                </c:pt>
                <c:pt idx="7">
                  <c:v>3.24</c:v>
                </c:pt>
                <c:pt idx="8">
                  <c:v>3.27</c:v>
                </c:pt>
                <c:pt idx="9">
                  <c:v>3.27</c:v>
                </c:pt>
                <c:pt idx="10">
                  <c:v>3.26</c:v>
                </c:pt>
                <c:pt idx="11">
                  <c:v>3.26</c:v>
                </c:pt>
                <c:pt idx="12">
                  <c:v>3.3</c:v>
                </c:pt>
                <c:pt idx="13">
                  <c:v>3.26</c:v>
                </c:pt>
                <c:pt idx="14">
                  <c:v>3.27</c:v>
                </c:pt>
                <c:pt idx="15">
                  <c:v>3.25</c:v>
                </c:pt>
                <c:pt idx="16">
                  <c:v>3.25</c:v>
                </c:pt>
                <c:pt idx="17">
                  <c:v>3.26</c:v>
                </c:pt>
                <c:pt idx="18">
                  <c:v>3.3</c:v>
                </c:pt>
                <c:pt idx="19">
                  <c:v>3.22</c:v>
                </c:pt>
                <c:pt idx="20">
                  <c:v>3.21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3.14</c:v>
                </c:pt>
                <c:pt idx="25">
                  <c:v>3.12</c:v>
                </c:pt>
                <c:pt idx="26">
                  <c:v>3.13</c:v>
                </c:pt>
                <c:pt idx="27">
                  <c:v>3.12</c:v>
                </c:pt>
                <c:pt idx="28">
                  <c:v>3.13</c:v>
                </c:pt>
                <c:pt idx="29">
                  <c:v>3.14</c:v>
                </c:pt>
                <c:pt idx="30">
                  <c:v>3.16</c:v>
                </c:pt>
                <c:pt idx="31">
                  <c:v>3.18</c:v>
                </c:pt>
                <c:pt idx="32">
                  <c:v>3.18</c:v>
                </c:pt>
                <c:pt idx="33">
                  <c:v>3.22</c:v>
                </c:pt>
                <c:pt idx="34">
                  <c:v>3.22</c:v>
                </c:pt>
                <c:pt idx="35">
                  <c:v>3.09</c:v>
                </c:pt>
                <c:pt idx="36">
                  <c:v>3.09</c:v>
                </c:pt>
                <c:pt idx="37">
                  <c:v>3.05</c:v>
                </c:pt>
                <c:pt idx="38">
                  <c:v>3.05</c:v>
                </c:pt>
                <c:pt idx="39">
                  <c:v>3.04</c:v>
                </c:pt>
                <c:pt idx="40">
                  <c:v>2.98</c:v>
                </c:pt>
                <c:pt idx="41">
                  <c:v>2.94</c:v>
                </c:pt>
                <c:pt idx="42">
                  <c:v>2.88</c:v>
                </c:pt>
                <c:pt idx="43">
                  <c:v>2.89</c:v>
                </c:pt>
                <c:pt idx="44">
                  <c:v>2.83</c:v>
                </c:pt>
                <c:pt idx="45">
                  <c:v>2.85</c:v>
                </c:pt>
                <c:pt idx="46">
                  <c:v>2.88</c:v>
                </c:pt>
                <c:pt idx="47">
                  <c:v>2.85</c:v>
                </c:pt>
                <c:pt idx="48">
                  <c:v>2.84</c:v>
                </c:pt>
                <c:pt idx="49">
                  <c:v>2.82</c:v>
                </c:pt>
                <c:pt idx="50">
                  <c:v>2.81</c:v>
                </c:pt>
                <c:pt idx="51">
                  <c:v>2.8</c:v>
                </c:pt>
                <c:pt idx="52">
                  <c:v>2.76</c:v>
                </c:pt>
                <c:pt idx="53">
                  <c:v>2.84</c:v>
                </c:pt>
                <c:pt idx="54">
                  <c:v>2.79</c:v>
                </c:pt>
                <c:pt idx="55">
                  <c:v>2.84</c:v>
                </c:pt>
                <c:pt idx="56">
                  <c:v>2.88</c:v>
                </c:pt>
                <c:pt idx="57">
                  <c:v>2.87</c:v>
                </c:pt>
                <c:pt idx="58">
                  <c:v>2.9</c:v>
                </c:pt>
                <c:pt idx="59">
                  <c:v>2.86</c:v>
                </c:pt>
                <c:pt idx="60">
                  <c:v>2.86</c:v>
                </c:pt>
                <c:pt idx="61">
                  <c:v>2.86</c:v>
                </c:pt>
                <c:pt idx="62">
                  <c:v>2.86</c:v>
                </c:pt>
                <c:pt idx="63">
                  <c:v>2.86</c:v>
                </c:pt>
                <c:pt idx="64">
                  <c:v>2.85</c:v>
                </c:pt>
                <c:pt idx="65">
                  <c:v>2.86</c:v>
                </c:pt>
                <c:pt idx="66">
                  <c:v>2.84</c:v>
                </c:pt>
                <c:pt idx="67">
                  <c:v>2.86</c:v>
                </c:pt>
                <c:pt idx="68">
                  <c:v>2.83</c:v>
                </c:pt>
                <c:pt idx="69">
                  <c:v>2.83</c:v>
                </c:pt>
                <c:pt idx="70">
                  <c:v>2.82</c:v>
                </c:pt>
                <c:pt idx="71">
                  <c:v>2.83</c:v>
                </c:pt>
                <c:pt idx="72">
                  <c:v>2.85</c:v>
                </c:pt>
                <c:pt idx="73">
                  <c:v>2.86</c:v>
                </c:pt>
                <c:pt idx="74">
                  <c:v>2.87</c:v>
                </c:pt>
                <c:pt idx="75">
                  <c:v>2.84</c:v>
                </c:pt>
                <c:pt idx="76">
                  <c:v>2.85</c:v>
                </c:pt>
                <c:pt idx="77">
                  <c:v>2.84</c:v>
                </c:pt>
                <c:pt idx="78">
                  <c:v>2.85</c:v>
                </c:pt>
                <c:pt idx="79">
                  <c:v>2.85</c:v>
                </c:pt>
                <c:pt idx="80">
                  <c:v>2.84</c:v>
                </c:pt>
                <c:pt idx="81">
                  <c:v>2.85</c:v>
                </c:pt>
                <c:pt idx="82">
                  <c:v>2.86</c:v>
                </c:pt>
                <c:pt idx="83">
                  <c:v>2.85</c:v>
                </c:pt>
                <c:pt idx="84">
                  <c:v>2.81</c:v>
                </c:pt>
                <c:pt idx="85">
                  <c:v>2.8</c:v>
                </c:pt>
                <c:pt idx="86">
                  <c:v>2.82</c:v>
                </c:pt>
                <c:pt idx="87">
                  <c:v>2.82</c:v>
                </c:pt>
                <c:pt idx="88">
                  <c:v>2.82</c:v>
                </c:pt>
                <c:pt idx="89">
                  <c:v>2.84</c:v>
                </c:pt>
                <c:pt idx="90">
                  <c:v>2.85</c:v>
                </c:pt>
                <c:pt idx="91">
                  <c:v>2.83</c:v>
                </c:pt>
                <c:pt idx="92">
                  <c:v>2.84</c:v>
                </c:pt>
                <c:pt idx="93">
                  <c:v>2.87</c:v>
                </c:pt>
                <c:pt idx="94">
                  <c:v>3.4</c:v>
                </c:pt>
                <c:pt idx="95">
                  <c:v>3.31</c:v>
                </c:pt>
                <c:pt idx="96">
                  <c:v>3.46</c:v>
                </c:pt>
                <c:pt idx="97">
                  <c:v>3.5</c:v>
                </c:pt>
                <c:pt idx="98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E-41BE-B25E-A6CD6ADD770C}"/>
            </c:ext>
          </c:extLst>
        </c:ser>
        <c:ser>
          <c:idx val="1"/>
          <c:order val="1"/>
          <c:tx>
            <c:strRef>
              <c:f>主頁面!$AD$2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主頁面!$AB$3:$AB$101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主頁面!$AD$3:$AD$101</c:f>
              <c:numCache>
                <c:formatCode>General</c:formatCode>
                <c:ptCount val="99"/>
                <c:pt idx="0">
                  <c:v>3.35</c:v>
                </c:pt>
                <c:pt idx="1">
                  <c:v>3.35</c:v>
                </c:pt>
                <c:pt idx="2">
                  <c:v>3.3</c:v>
                </c:pt>
                <c:pt idx="3">
                  <c:v>3.3</c:v>
                </c:pt>
                <c:pt idx="4">
                  <c:v>3.29</c:v>
                </c:pt>
                <c:pt idx="5">
                  <c:v>3.27</c:v>
                </c:pt>
                <c:pt idx="6">
                  <c:v>3.26</c:v>
                </c:pt>
                <c:pt idx="7">
                  <c:v>3.28</c:v>
                </c:pt>
                <c:pt idx="8">
                  <c:v>3.29</c:v>
                </c:pt>
                <c:pt idx="9">
                  <c:v>3.28</c:v>
                </c:pt>
                <c:pt idx="10">
                  <c:v>3.27</c:v>
                </c:pt>
                <c:pt idx="11">
                  <c:v>3.3</c:v>
                </c:pt>
                <c:pt idx="12">
                  <c:v>3.3</c:v>
                </c:pt>
                <c:pt idx="13">
                  <c:v>3.28</c:v>
                </c:pt>
                <c:pt idx="14">
                  <c:v>3.28</c:v>
                </c:pt>
                <c:pt idx="15">
                  <c:v>3.26</c:v>
                </c:pt>
                <c:pt idx="16">
                  <c:v>3.25</c:v>
                </c:pt>
                <c:pt idx="17">
                  <c:v>3.32</c:v>
                </c:pt>
                <c:pt idx="18">
                  <c:v>3.3</c:v>
                </c:pt>
                <c:pt idx="19">
                  <c:v>3.25</c:v>
                </c:pt>
                <c:pt idx="20">
                  <c:v>3.22</c:v>
                </c:pt>
                <c:pt idx="21">
                  <c:v>3.2</c:v>
                </c:pt>
                <c:pt idx="22">
                  <c:v>3.21</c:v>
                </c:pt>
                <c:pt idx="23">
                  <c:v>3.21</c:v>
                </c:pt>
                <c:pt idx="24">
                  <c:v>3.16</c:v>
                </c:pt>
                <c:pt idx="25">
                  <c:v>3.15</c:v>
                </c:pt>
                <c:pt idx="26">
                  <c:v>3.15</c:v>
                </c:pt>
                <c:pt idx="27">
                  <c:v>3.14</c:v>
                </c:pt>
                <c:pt idx="28">
                  <c:v>3.14</c:v>
                </c:pt>
                <c:pt idx="29">
                  <c:v>3.18</c:v>
                </c:pt>
                <c:pt idx="30">
                  <c:v>3.2</c:v>
                </c:pt>
                <c:pt idx="31">
                  <c:v>3.21</c:v>
                </c:pt>
                <c:pt idx="32">
                  <c:v>3.23</c:v>
                </c:pt>
                <c:pt idx="33">
                  <c:v>3.25</c:v>
                </c:pt>
                <c:pt idx="34">
                  <c:v>3.23</c:v>
                </c:pt>
                <c:pt idx="35">
                  <c:v>3.11</c:v>
                </c:pt>
                <c:pt idx="36">
                  <c:v>3.1</c:v>
                </c:pt>
                <c:pt idx="37">
                  <c:v>3.08</c:v>
                </c:pt>
                <c:pt idx="38">
                  <c:v>3.06</c:v>
                </c:pt>
                <c:pt idx="39">
                  <c:v>3.04</c:v>
                </c:pt>
                <c:pt idx="40">
                  <c:v>2.99</c:v>
                </c:pt>
                <c:pt idx="41">
                  <c:v>2.97</c:v>
                </c:pt>
                <c:pt idx="42">
                  <c:v>2.9</c:v>
                </c:pt>
                <c:pt idx="43">
                  <c:v>2.89</c:v>
                </c:pt>
                <c:pt idx="44">
                  <c:v>2.88</c:v>
                </c:pt>
                <c:pt idx="45">
                  <c:v>2.9</c:v>
                </c:pt>
                <c:pt idx="46">
                  <c:v>2.89</c:v>
                </c:pt>
                <c:pt idx="47">
                  <c:v>2.85</c:v>
                </c:pt>
                <c:pt idx="48">
                  <c:v>2.84</c:v>
                </c:pt>
                <c:pt idx="49">
                  <c:v>2.83</c:v>
                </c:pt>
                <c:pt idx="50">
                  <c:v>2.81</c:v>
                </c:pt>
                <c:pt idx="51">
                  <c:v>2.8</c:v>
                </c:pt>
                <c:pt idx="52">
                  <c:v>2.84</c:v>
                </c:pt>
                <c:pt idx="53">
                  <c:v>2.85</c:v>
                </c:pt>
                <c:pt idx="54">
                  <c:v>2.84</c:v>
                </c:pt>
                <c:pt idx="55">
                  <c:v>2.88</c:v>
                </c:pt>
                <c:pt idx="56">
                  <c:v>2.9</c:v>
                </c:pt>
                <c:pt idx="57">
                  <c:v>2.87</c:v>
                </c:pt>
                <c:pt idx="58">
                  <c:v>2.92</c:v>
                </c:pt>
                <c:pt idx="59">
                  <c:v>2.87</c:v>
                </c:pt>
                <c:pt idx="60">
                  <c:v>2.87</c:v>
                </c:pt>
                <c:pt idx="61">
                  <c:v>2.88</c:v>
                </c:pt>
                <c:pt idx="62">
                  <c:v>2.89</c:v>
                </c:pt>
                <c:pt idx="63">
                  <c:v>2.87</c:v>
                </c:pt>
                <c:pt idx="64">
                  <c:v>2.89</c:v>
                </c:pt>
                <c:pt idx="65">
                  <c:v>2.88</c:v>
                </c:pt>
                <c:pt idx="66">
                  <c:v>2.86</c:v>
                </c:pt>
                <c:pt idx="67">
                  <c:v>2.87</c:v>
                </c:pt>
                <c:pt idx="68">
                  <c:v>2.84</c:v>
                </c:pt>
                <c:pt idx="69">
                  <c:v>2.84</c:v>
                </c:pt>
                <c:pt idx="70">
                  <c:v>2.84</c:v>
                </c:pt>
                <c:pt idx="71">
                  <c:v>2.86</c:v>
                </c:pt>
                <c:pt idx="72">
                  <c:v>2.89</c:v>
                </c:pt>
                <c:pt idx="73">
                  <c:v>2.89</c:v>
                </c:pt>
                <c:pt idx="74">
                  <c:v>2.87</c:v>
                </c:pt>
                <c:pt idx="75">
                  <c:v>2.86</c:v>
                </c:pt>
                <c:pt idx="76">
                  <c:v>2.86</c:v>
                </c:pt>
                <c:pt idx="77">
                  <c:v>2.86</c:v>
                </c:pt>
                <c:pt idx="78">
                  <c:v>2.86</c:v>
                </c:pt>
                <c:pt idx="79">
                  <c:v>2.86</c:v>
                </c:pt>
                <c:pt idx="80">
                  <c:v>2.86</c:v>
                </c:pt>
                <c:pt idx="81">
                  <c:v>2.87</c:v>
                </c:pt>
                <c:pt idx="82">
                  <c:v>2.87</c:v>
                </c:pt>
                <c:pt idx="83">
                  <c:v>2.86</c:v>
                </c:pt>
                <c:pt idx="84">
                  <c:v>2.82</c:v>
                </c:pt>
                <c:pt idx="85">
                  <c:v>2.81</c:v>
                </c:pt>
                <c:pt idx="86">
                  <c:v>2.82</c:v>
                </c:pt>
                <c:pt idx="87">
                  <c:v>2.82</c:v>
                </c:pt>
                <c:pt idx="88">
                  <c:v>2.87</c:v>
                </c:pt>
                <c:pt idx="89">
                  <c:v>2.85</c:v>
                </c:pt>
                <c:pt idx="90">
                  <c:v>2.86</c:v>
                </c:pt>
                <c:pt idx="91">
                  <c:v>2.89</c:v>
                </c:pt>
                <c:pt idx="92">
                  <c:v>2.84</c:v>
                </c:pt>
                <c:pt idx="93">
                  <c:v>2.89</c:v>
                </c:pt>
                <c:pt idx="94">
                  <c:v>3.44</c:v>
                </c:pt>
                <c:pt idx="95">
                  <c:v>3.49</c:v>
                </c:pt>
                <c:pt idx="96">
                  <c:v>3.52</c:v>
                </c:pt>
                <c:pt idx="97">
                  <c:v>3.51</c:v>
                </c:pt>
                <c:pt idx="98">
                  <c:v>3.55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E-41BE-B25E-A6CD6ADD770C}"/>
            </c:ext>
          </c:extLst>
        </c:ser>
        <c:ser>
          <c:idx val="2"/>
          <c:order val="2"/>
          <c:tx>
            <c:strRef>
              <c:f>主頁面!$AE$2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主頁面!$AB$3:$AB$101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主頁面!$AE$3:$AE$101</c:f>
              <c:numCache>
                <c:formatCode>General</c:formatCode>
                <c:ptCount val="99"/>
                <c:pt idx="0">
                  <c:v>3.32</c:v>
                </c:pt>
                <c:pt idx="1">
                  <c:v>3.27</c:v>
                </c:pt>
                <c:pt idx="2">
                  <c:v>3.27</c:v>
                </c:pt>
                <c:pt idx="3">
                  <c:v>3.28</c:v>
                </c:pt>
                <c:pt idx="4">
                  <c:v>3.21</c:v>
                </c:pt>
                <c:pt idx="5">
                  <c:v>3.18</c:v>
                </c:pt>
                <c:pt idx="6">
                  <c:v>3.21</c:v>
                </c:pt>
                <c:pt idx="7">
                  <c:v>3.21</c:v>
                </c:pt>
                <c:pt idx="8">
                  <c:v>3.23</c:v>
                </c:pt>
                <c:pt idx="9">
                  <c:v>3.22</c:v>
                </c:pt>
                <c:pt idx="10">
                  <c:v>3.24</c:v>
                </c:pt>
                <c:pt idx="11">
                  <c:v>3.24</c:v>
                </c:pt>
                <c:pt idx="12">
                  <c:v>3.24</c:v>
                </c:pt>
                <c:pt idx="13">
                  <c:v>3.25</c:v>
                </c:pt>
                <c:pt idx="14">
                  <c:v>3.23</c:v>
                </c:pt>
                <c:pt idx="15">
                  <c:v>3.21</c:v>
                </c:pt>
                <c:pt idx="16">
                  <c:v>3.22</c:v>
                </c:pt>
                <c:pt idx="17">
                  <c:v>3.23</c:v>
                </c:pt>
                <c:pt idx="18">
                  <c:v>3.21</c:v>
                </c:pt>
                <c:pt idx="19">
                  <c:v>3.21</c:v>
                </c:pt>
                <c:pt idx="20">
                  <c:v>3.17</c:v>
                </c:pt>
                <c:pt idx="21">
                  <c:v>3.15</c:v>
                </c:pt>
                <c:pt idx="22">
                  <c:v>3.17</c:v>
                </c:pt>
                <c:pt idx="23">
                  <c:v>3.17</c:v>
                </c:pt>
                <c:pt idx="24">
                  <c:v>3.11</c:v>
                </c:pt>
                <c:pt idx="25">
                  <c:v>3.11</c:v>
                </c:pt>
                <c:pt idx="26">
                  <c:v>3.12</c:v>
                </c:pt>
                <c:pt idx="27">
                  <c:v>3.11</c:v>
                </c:pt>
                <c:pt idx="28">
                  <c:v>3.11</c:v>
                </c:pt>
                <c:pt idx="29">
                  <c:v>3.12</c:v>
                </c:pt>
                <c:pt idx="30">
                  <c:v>3.16</c:v>
                </c:pt>
                <c:pt idx="31">
                  <c:v>3.16</c:v>
                </c:pt>
                <c:pt idx="32">
                  <c:v>3.18</c:v>
                </c:pt>
                <c:pt idx="33">
                  <c:v>3.21</c:v>
                </c:pt>
                <c:pt idx="34">
                  <c:v>3.21</c:v>
                </c:pt>
                <c:pt idx="35">
                  <c:v>3.06</c:v>
                </c:pt>
                <c:pt idx="36">
                  <c:v>3.05</c:v>
                </c:pt>
                <c:pt idx="37">
                  <c:v>3.02</c:v>
                </c:pt>
                <c:pt idx="38">
                  <c:v>3.02</c:v>
                </c:pt>
                <c:pt idx="39">
                  <c:v>2.98</c:v>
                </c:pt>
                <c:pt idx="40">
                  <c:v>2.92</c:v>
                </c:pt>
                <c:pt idx="41">
                  <c:v>2.86</c:v>
                </c:pt>
                <c:pt idx="42">
                  <c:v>2.8</c:v>
                </c:pt>
                <c:pt idx="43">
                  <c:v>2.84</c:v>
                </c:pt>
                <c:pt idx="44">
                  <c:v>2.81</c:v>
                </c:pt>
                <c:pt idx="45">
                  <c:v>2.85</c:v>
                </c:pt>
                <c:pt idx="46">
                  <c:v>2.83</c:v>
                </c:pt>
                <c:pt idx="47">
                  <c:v>2.8</c:v>
                </c:pt>
                <c:pt idx="48">
                  <c:v>2.81</c:v>
                </c:pt>
                <c:pt idx="49">
                  <c:v>2.77</c:v>
                </c:pt>
                <c:pt idx="50">
                  <c:v>2.76</c:v>
                </c:pt>
                <c:pt idx="51">
                  <c:v>2.75</c:v>
                </c:pt>
                <c:pt idx="52">
                  <c:v>2.75</c:v>
                </c:pt>
                <c:pt idx="53">
                  <c:v>2.8</c:v>
                </c:pt>
                <c:pt idx="54">
                  <c:v>2.78</c:v>
                </c:pt>
                <c:pt idx="55">
                  <c:v>2.83</c:v>
                </c:pt>
                <c:pt idx="56">
                  <c:v>2.83</c:v>
                </c:pt>
                <c:pt idx="57">
                  <c:v>2.82</c:v>
                </c:pt>
                <c:pt idx="58">
                  <c:v>2.85</c:v>
                </c:pt>
                <c:pt idx="59">
                  <c:v>2.84</c:v>
                </c:pt>
                <c:pt idx="60">
                  <c:v>2.8</c:v>
                </c:pt>
                <c:pt idx="61">
                  <c:v>2.83</c:v>
                </c:pt>
                <c:pt idx="62">
                  <c:v>2.85</c:v>
                </c:pt>
                <c:pt idx="63">
                  <c:v>2.83</c:v>
                </c:pt>
                <c:pt idx="64">
                  <c:v>2.83</c:v>
                </c:pt>
                <c:pt idx="65">
                  <c:v>2.83</c:v>
                </c:pt>
                <c:pt idx="66">
                  <c:v>2.83</c:v>
                </c:pt>
                <c:pt idx="67">
                  <c:v>2.81</c:v>
                </c:pt>
                <c:pt idx="68">
                  <c:v>2.81</c:v>
                </c:pt>
                <c:pt idx="69">
                  <c:v>2.81</c:v>
                </c:pt>
                <c:pt idx="70">
                  <c:v>2.81</c:v>
                </c:pt>
                <c:pt idx="71">
                  <c:v>2.82</c:v>
                </c:pt>
                <c:pt idx="72">
                  <c:v>2.84</c:v>
                </c:pt>
                <c:pt idx="73">
                  <c:v>2.84</c:v>
                </c:pt>
                <c:pt idx="74">
                  <c:v>2.84</c:v>
                </c:pt>
                <c:pt idx="75">
                  <c:v>2.83</c:v>
                </c:pt>
                <c:pt idx="76">
                  <c:v>2.83</c:v>
                </c:pt>
                <c:pt idx="77">
                  <c:v>2.83</c:v>
                </c:pt>
                <c:pt idx="78">
                  <c:v>2.83</c:v>
                </c:pt>
                <c:pt idx="79">
                  <c:v>2.83</c:v>
                </c:pt>
                <c:pt idx="80">
                  <c:v>2.83</c:v>
                </c:pt>
                <c:pt idx="81">
                  <c:v>2.84</c:v>
                </c:pt>
                <c:pt idx="82">
                  <c:v>2.84</c:v>
                </c:pt>
                <c:pt idx="83">
                  <c:v>2.82</c:v>
                </c:pt>
                <c:pt idx="84">
                  <c:v>2.79</c:v>
                </c:pt>
                <c:pt idx="85">
                  <c:v>2.79</c:v>
                </c:pt>
                <c:pt idx="86">
                  <c:v>2.8</c:v>
                </c:pt>
                <c:pt idx="87">
                  <c:v>2.8</c:v>
                </c:pt>
                <c:pt idx="88">
                  <c:v>2.81</c:v>
                </c:pt>
                <c:pt idx="89">
                  <c:v>2.81</c:v>
                </c:pt>
                <c:pt idx="90">
                  <c:v>2.83</c:v>
                </c:pt>
                <c:pt idx="91">
                  <c:v>2.83</c:v>
                </c:pt>
                <c:pt idx="92">
                  <c:v>2.84</c:v>
                </c:pt>
                <c:pt idx="93">
                  <c:v>2.86</c:v>
                </c:pt>
                <c:pt idx="94">
                  <c:v>3.23</c:v>
                </c:pt>
                <c:pt idx="95">
                  <c:v>3.31</c:v>
                </c:pt>
                <c:pt idx="96">
                  <c:v>3.44</c:v>
                </c:pt>
                <c:pt idx="97">
                  <c:v>3.45</c:v>
                </c:pt>
                <c:pt idx="98">
                  <c:v>3.48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4E-41BE-B25E-A6CD6ADD770C}"/>
            </c:ext>
          </c:extLst>
        </c:ser>
        <c:ser>
          <c:idx val="3"/>
          <c:order val="3"/>
          <c:tx>
            <c:strRef>
              <c:f>主頁面!$AF$2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主頁面!$AB$3:$AB$101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主頁面!$AF$3:$AF$101</c:f>
              <c:numCache>
                <c:formatCode>General</c:formatCode>
                <c:ptCount val="99"/>
                <c:pt idx="0">
                  <c:v>3.34</c:v>
                </c:pt>
                <c:pt idx="1">
                  <c:v>3.27</c:v>
                </c:pt>
                <c:pt idx="2">
                  <c:v>3.29</c:v>
                </c:pt>
                <c:pt idx="3">
                  <c:v>3.29</c:v>
                </c:pt>
                <c:pt idx="4">
                  <c:v>3.26</c:v>
                </c:pt>
                <c:pt idx="5">
                  <c:v>3.24</c:v>
                </c:pt>
                <c:pt idx="6">
                  <c:v>3.26</c:v>
                </c:pt>
                <c:pt idx="7">
                  <c:v>3.22</c:v>
                </c:pt>
                <c:pt idx="8">
                  <c:v>3.26</c:v>
                </c:pt>
                <c:pt idx="9">
                  <c:v>3.25</c:v>
                </c:pt>
                <c:pt idx="10">
                  <c:v>3.25</c:v>
                </c:pt>
                <c:pt idx="11">
                  <c:v>3.29</c:v>
                </c:pt>
                <c:pt idx="12">
                  <c:v>3.26</c:v>
                </c:pt>
                <c:pt idx="13">
                  <c:v>3.27</c:v>
                </c:pt>
                <c:pt idx="14">
                  <c:v>3.26</c:v>
                </c:pt>
                <c:pt idx="15">
                  <c:v>3.24</c:v>
                </c:pt>
                <c:pt idx="16">
                  <c:v>3.25</c:v>
                </c:pt>
                <c:pt idx="17">
                  <c:v>3.28</c:v>
                </c:pt>
                <c:pt idx="18">
                  <c:v>3.21</c:v>
                </c:pt>
                <c:pt idx="19">
                  <c:v>3.24</c:v>
                </c:pt>
                <c:pt idx="20">
                  <c:v>3.19</c:v>
                </c:pt>
                <c:pt idx="21">
                  <c:v>3.19</c:v>
                </c:pt>
                <c:pt idx="22">
                  <c:v>3.2</c:v>
                </c:pt>
                <c:pt idx="23">
                  <c:v>3.18</c:v>
                </c:pt>
                <c:pt idx="24">
                  <c:v>3.12</c:v>
                </c:pt>
                <c:pt idx="25">
                  <c:v>3.12</c:v>
                </c:pt>
                <c:pt idx="26">
                  <c:v>3.12</c:v>
                </c:pt>
                <c:pt idx="27">
                  <c:v>3.12</c:v>
                </c:pt>
                <c:pt idx="28">
                  <c:v>3.13</c:v>
                </c:pt>
                <c:pt idx="29">
                  <c:v>3.15</c:v>
                </c:pt>
                <c:pt idx="30">
                  <c:v>3.17</c:v>
                </c:pt>
                <c:pt idx="31">
                  <c:v>3.18</c:v>
                </c:pt>
                <c:pt idx="32">
                  <c:v>3.21</c:v>
                </c:pt>
                <c:pt idx="33">
                  <c:v>3.22</c:v>
                </c:pt>
                <c:pt idx="34">
                  <c:v>3.23</c:v>
                </c:pt>
                <c:pt idx="35">
                  <c:v>3.09</c:v>
                </c:pt>
                <c:pt idx="36">
                  <c:v>3.06</c:v>
                </c:pt>
                <c:pt idx="37">
                  <c:v>3.05</c:v>
                </c:pt>
                <c:pt idx="38">
                  <c:v>3.04</c:v>
                </c:pt>
                <c:pt idx="39">
                  <c:v>2.99</c:v>
                </c:pt>
                <c:pt idx="40">
                  <c:v>2.96</c:v>
                </c:pt>
                <c:pt idx="41">
                  <c:v>2.9</c:v>
                </c:pt>
                <c:pt idx="42">
                  <c:v>2.89</c:v>
                </c:pt>
                <c:pt idx="43">
                  <c:v>2.86</c:v>
                </c:pt>
                <c:pt idx="44">
                  <c:v>2.88</c:v>
                </c:pt>
                <c:pt idx="45">
                  <c:v>2.87</c:v>
                </c:pt>
                <c:pt idx="46">
                  <c:v>2.85</c:v>
                </c:pt>
                <c:pt idx="47">
                  <c:v>2.84</c:v>
                </c:pt>
                <c:pt idx="48">
                  <c:v>2.82</c:v>
                </c:pt>
                <c:pt idx="49">
                  <c:v>2.8</c:v>
                </c:pt>
                <c:pt idx="50">
                  <c:v>2.8</c:v>
                </c:pt>
                <c:pt idx="51">
                  <c:v>2.78</c:v>
                </c:pt>
                <c:pt idx="52">
                  <c:v>2.84</c:v>
                </c:pt>
                <c:pt idx="53">
                  <c:v>2.81</c:v>
                </c:pt>
                <c:pt idx="54">
                  <c:v>2.84</c:v>
                </c:pt>
                <c:pt idx="55">
                  <c:v>2.86</c:v>
                </c:pt>
                <c:pt idx="56">
                  <c:v>2.86</c:v>
                </c:pt>
                <c:pt idx="57">
                  <c:v>2.86</c:v>
                </c:pt>
                <c:pt idx="58">
                  <c:v>2.86</c:v>
                </c:pt>
                <c:pt idx="59">
                  <c:v>2.85</c:v>
                </c:pt>
                <c:pt idx="60">
                  <c:v>2.86</c:v>
                </c:pt>
                <c:pt idx="61">
                  <c:v>2.88</c:v>
                </c:pt>
                <c:pt idx="62">
                  <c:v>2.85</c:v>
                </c:pt>
                <c:pt idx="63">
                  <c:v>2.83</c:v>
                </c:pt>
                <c:pt idx="64">
                  <c:v>2.86</c:v>
                </c:pt>
                <c:pt idx="65">
                  <c:v>2.84</c:v>
                </c:pt>
                <c:pt idx="66">
                  <c:v>2.85</c:v>
                </c:pt>
                <c:pt idx="67">
                  <c:v>2.83</c:v>
                </c:pt>
                <c:pt idx="68">
                  <c:v>2.82</c:v>
                </c:pt>
                <c:pt idx="69">
                  <c:v>2.81</c:v>
                </c:pt>
                <c:pt idx="70">
                  <c:v>2.83</c:v>
                </c:pt>
                <c:pt idx="71">
                  <c:v>2.83</c:v>
                </c:pt>
                <c:pt idx="72">
                  <c:v>2.86</c:v>
                </c:pt>
                <c:pt idx="73">
                  <c:v>2.85</c:v>
                </c:pt>
                <c:pt idx="74">
                  <c:v>2.84</c:v>
                </c:pt>
                <c:pt idx="75">
                  <c:v>2.86</c:v>
                </c:pt>
                <c:pt idx="76">
                  <c:v>2.84</c:v>
                </c:pt>
                <c:pt idx="77">
                  <c:v>2.85</c:v>
                </c:pt>
                <c:pt idx="78">
                  <c:v>2.84</c:v>
                </c:pt>
                <c:pt idx="79">
                  <c:v>2.84</c:v>
                </c:pt>
                <c:pt idx="80">
                  <c:v>2.85</c:v>
                </c:pt>
                <c:pt idx="81">
                  <c:v>2.86</c:v>
                </c:pt>
                <c:pt idx="82">
                  <c:v>2.85</c:v>
                </c:pt>
                <c:pt idx="83">
                  <c:v>2.84</c:v>
                </c:pt>
                <c:pt idx="84">
                  <c:v>2.81</c:v>
                </c:pt>
                <c:pt idx="85">
                  <c:v>2.8</c:v>
                </c:pt>
                <c:pt idx="86">
                  <c:v>2.8</c:v>
                </c:pt>
                <c:pt idx="87">
                  <c:v>2.81</c:v>
                </c:pt>
                <c:pt idx="88">
                  <c:v>2.85</c:v>
                </c:pt>
                <c:pt idx="89">
                  <c:v>2.83</c:v>
                </c:pt>
                <c:pt idx="90">
                  <c:v>2.83</c:v>
                </c:pt>
                <c:pt idx="91">
                  <c:v>2.85</c:v>
                </c:pt>
                <c:pt idx="92">
                  <c:v>2.84</c:v>
                </c:pt>
                <c:pt idx="93">
                  <c:v>2.87</c:v>
                </c:pt>
                <c:pt idx="94">
                  <c:v>3.3</c:v>
                </c:pt>
                <c:pt idx="95">
                  <c:v>3.46</c:v>
                </c:pt>
                <c:pt idx="96">
                  <c:v>3.49</c:v>
                </c:pt>
                <c:pt idx="97">
                  <c:v>3.48</c:v>
                </c:pt>
                <c:pt idx="98">
                  <c:v>3.53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4E-41BE-B25E-A6CD6ADD7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13548352"/>
        <c:axId val="413546712"/>
      </c:stockChart>
      <c:dateAx>
        <c:axId val="413548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46712"/>
        <c:crosses val="autoZero"/>
        <c:auto val="1"/>
        <c:lblOffset val="100"/>
        <c:baseTimeUnit val="days"/>
      </c:dateAx>
      <c:valAx>
        <c:axId val="413546712"/>
        <c:scaling>
          <c:orientation val="minMax"/>
          <c:max val="3.6"/>
          <c:min val="2.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4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主頁面!$AK$1</c:f>
          <c:strCache>
            <c:ptCount val="1"/>
            <c:pt idx="0">
              <c:v>0880 澳門博彩控股有限公司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主頁面!$AL$2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主頁面!$AK$3:$AK$101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主頁面!$AL$3:$AL$101</c:f>
              <c:numCache>
                <c:formatCode>General</c:formatCode>
                <c:ptCount val="99"/>
                <c:pt idx="0">
                  <c:v>6.99</c:v>
                </c:pt>
                <c:pt idx="1">
                  <c:v>7.3</c:v>
                </c:pt>
                <c:pt idx="2">
                  <c:v>7.2</c:v>
                </c:pt>
                <c:pt idx="3">
                  <c:v>7.36</c:v>
                </c:pt>
                <c:pt idx="4">
                  <c:v>7.4</c:v>
                </c:pt>
                <c:pt idx="5">
                  <c:v>7.18</c:v>
                </c:pt>
                <c:pt idx="6">
                  <c:v>7.13</c:v>
                </c:pt>
                <c:pt idx="7">
                  <c:v>7.2</c:v>
                </c:pt>
                <c:pt idx="8">
                  <c:v>7.28</c:v>
                </c:pt>
                <c:pt idx="9">
                  <c:v>7.12</c:v>
                </c:pt>
                <c:pt idx="10">
                  <c:v>7.29</c:v>
                </c:pt>
                <c:pt idx="11">
                  <c:v>7.57</c:v>
                </c:pt>
                <c:pt idx="12">
                  <c:v>7.45</c:v>
                </c:pt>
                <c:pt idx="13">
                  <c:v>7.55</c:v>
                </c:pt>
                <c:pt idx="14">
                  <c:v>7.6</c:v>
                </c:pt>
                <c:pt idx="15">
                  <c:v>7.33</c:v>
                </c:pt>
                <c:pt idx="16">
                  <c:v>7.08</c:v>
                </c:pt>
                <c:pt idx="17">
                  <c:v>7</c:v>
                </c:pt>
                <c:pt idx="18">
                  <c:v>7.13</c:v>
                </c:pt>
                <c:pt idx="19">
                  <c:v>7.17</c:v>
                </c:pt>
                <c:pt idx="20">
                  <c:v>7.15</c:v>
                </c:pt>
                <c:pt idx="21">
                  <c:v>7.25</c:v>
                </c:pt>
                <c:pt idx="22">
                  <c:v>7.24</c:v>
                </c:pt>
                <c:pt idx="23">
                  <c:v>7.29</c:v>
                </c:pt>
                <c:pt idx="24">
                  <c:v>7.06</c:v>
                </c:pt>
                <c:pt idx="25">
                  <c:v>7.06</c:v>
                </c:pt>
                <c:pt idx="26">
                  <c:v>7.06</c:v>
                </c:pt>
                <c:pt idx="27">
                  <c:v>7.29</c:v>
                </c:pt>
                <c:pt idx="28">
                  <c:v>7.34</c:v>
                </c:pt>
                <c:pt idx="29">
                  <c:v>7.23</c:v>
                </c:pt>
                <c:pt idx="30">
                  <c:v>7.3</c:v>
                </c:pt>
                <c:pt idx="31">
                  <c:v>7.37</c:v>
                </c:pt>
                <c:pt idx="32">
                  <c:v>7.41</c:v>
                </c:pt>
                <c:pt idx="33">
                  <c:v>7.59</c:v>
                </c:pt>
                <c:pt idx="34">
                  <c:v>7.61</c:v>
                </c:pt>
                <c:pt idx="35">
                  <c:v>7.53</c:v>
                </c:pt>
                <c:pt idx="36">
                  <c:v>7.44</c:v>
                </c:pt>
                <c:pt idx="37">
                  <c:v>7.57</c:v>
                </c:pt>
                <c:pt idx="38">
                  <c:v>7.66</c:v>
                </c:pt>
                <c:pt idx="39">
                  <c:v>8.17</c:v>
                </c:pt>
                <c:pt idx="40">
                  <c:v>7.98</c:v>
                </c:pt>
                <c:pt idx="41">
                  <c:v>8.0299999999999994</c:v>
                </c:pt>
                <c:pt idx="42">
                  <c:v>8.5</c:v>
                </c:pt>
                <c:pt idx="43">
                  <c:v>8.3000000000000007</c:v>
                </c:pt>
                <c:pt idx="44">
                  <c:v>8.16</c:v>
                </c:pt>
                <c:pt idx="45">
                  <c:v>8.1199999999999992</c:v>
                </c:pt>
                <c:pt idx="46">
                  <c:v>8.2899999999999991</c:v>
                </c:pt>
                <c:pt idx="47">
                  <c:v>8.3699999999999992</c:v>
                </c:pt>
                <c:pt idx="48">
                  <c:v>8.39</c:v>
                </c:pt>
                <c:pt idx="49">
                  <c:v>8.2899999999999991</c:v>
                </c:pt>
                <c:pt idx="50">
                  <c:v>8.3800000000000008</c:v>
                </c:pt>
                <c:pt idx="51">
                  <c:v>8.3800000000000008</c:v>
                </c:pt>
                <c:pt idx="52">
                  <c:v>8.4499999999999993</c:v>
                </c:pt>
                <c:pt idx="53">
                  <c:v>8.43</c:v>
                </c:pt>
                <c:pt idx="54">
                  <c:v>8.2899999999999991</c:v>
                </c:pt>
                <c:pt idx="55">
                  <c:v>8.2100000000000009</c:v>
                </c:pt>
                <c:pt idx="56">
                  <c:v>8.1</c:v>
                </c:pt>
                <c:pt idx="57">
                  <c:v>7.75</c:v>
                </c:pt>
                <c:pt idx="58">
                  <c:v>7.89</c:v>
                </c:pt>
                <c:pt idx="59">
                  <c:v>7.9</c:v>
                </c:pt>
                <c:pt idx="60">
                  <c:v>7.89</c:v>
                </c:pt>
                <c:pt idx="61">
                  <c:v>7.86</c:v>
                </c:pt>
                <c:pt idx="62">
                  <c:v>7.88</c:v>
                </c:pt>
                <c:pt idx="63">
                  <c:v>7.87</c:v>
                </c:pt>
                <c:pt idx="64">
                  <c:v>7.95</c:v>
                </c:pt>
                <c:pt idx="65">
                  <c:v>7.93</c:v>
                </c:pt>
                <c:pt idx="66">
                  <c:v>7.7</c:v>
                </c:pt>
                <c:pt idx="67">
                  <c:v>7.69</c:v>
                </c:pt>
                <c:pt idx="68">
                  <c:v>7.85</c:v>
                </c:pt>
                <c:pt idx="69">
                  <c:v>7.83</c:v>
                </c:pt>
                <c:pt idx="70">
                  <c:v>7.86</c:v>
                </c:pt>
                <c:pt idx="71">
                  <c:v>8</c:v>
                </c:pt>
                <c:pt idx="72">
                  <c:v>7.93</c:v>
                </c:pt>
                <c:pt idx="73">
                  <c:v>7.89</c:v>
                </c:pt>
                <c:pt idx="74">
                  <c:v>7.83</c:v>
                </c:pt>
                <c:pt idx="75">
                  <c:v>7.85</c:v>
                </c:pt>
                <c:pt idx="76">
                  <c:v>7.76</c:v>
                </c:pt>
                <c:pt idx="77">
                  <c:v>7.5</c:v>
                </c:pt>
                <c:pt idx="78">
                  <c:v>7.24</c:v>
                </c:pt>
                <c:pt idx="79">
                  <c:v>7.21</c:v>
                </c:pt>
                <c:pt idx="80">
                  <c:v>7.19</c:v>
                </c:pt>
                <c:pt idx="81">
                  <c:v>7.34</c:v>
                </c:pt>
                <c:pt idx="82">
                  <c:v>7.4</c:v>
                </c:pt>
                <c:pt idx="83">
                  <c:v>7.29</c:v>
                </c:pt>
                <c:pt idx="84">
                  <c:v>7.08</c:v>
                </c:pt>
                <c:pt idx="85">
                  <c:v>7</c:v>
                </c:pt>
                <c:pt idx="86">
                  <c:v>7.1</c:v>
                </c:pt>
                <c:pt idx="87">
                  <c:v>7</c:v>
                </c:pt>
                <c:pt idx="88">
                  <c:v>7</c:v>
                </c:pt>
                <c:pt idx="89">
                  <c:v>6.86</c:v>
                </c:pt>
                <c:pt idx="90">
                  <c:v>6.93</c:v>
                </c:pt>
                <c:pt idx="91">
                  <c:v>6.78</c:v>
                </c:pt>
                <c:pt idx="92">
                  <c:v>6.88</c:v>
                </c:pt>
                <c:pt idx="93">
                  <c:v>6.88</c:v>
                </c:pt>
                <c:pt idx="94">
                  <c:v>6.76</c:v>
                </c:pt>
                <c:pt idx="95">
                  <c:v>6.72</c:v>
                </c:pt>
                <c:pt idx="96">
                  <c:v>6.62</c:v>
                </c:pt>
                <c:pt idx="97">
                  <c:v>6.8</c:v>
                </c:pt>
                <c:pt idx="98">
                  <c:v>6.81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67-4A3B-8AA9-EF2F79EDE3D9}"/>
            </c:ext>
          </c:extLst>
        </c:ser>
        <c:ser>
          <c:idx val="1"/>
          <c:order val="1"/>
          <c:tx>
            <c:strRef>
              <c:f>主頁面!$AM$2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主頁面!$AK$3:$AK$101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主頁面!$AM$3:$AM$101</c:f>
              <c:numCache>
                <c:formatCode>General</c:formatCode>
                <c:ptCount val="99"/>
                <c:pt idx="0">
                  <c:v>7.3</c:v>
                </c:pt>
                <c:pt idx="1">
                  <c:v>7.42</c:v>
                </c:pt>
                <c:pt idx="2">
                  <c:v>7.45</c:v>
                </c:pt>
                <c:pt idx="3">
                  <c:v>7.42</c:v>
                </c:pt>
                <c:pt idx="4">
                  <c:v>7.4</c:v>
                </c:pt>
                <c:pt idx="5">
                  <c:v>7.2</c:v>
                </c:pt>
                <c:pt idx="6">
                  <c:v>7.31</c:v>
                </c:pt>
                <c:pt idx="7">
                  <c:v>7.28</c:v>
                </c:pt>
                <c:pt idx="8">
                  <c:v>7.31</c:v>
                </c:pt>
                <c:pt idx="9">
                  <c:v>7.23</c:v>
                </c:pt>
                <c:pt idx="10">
                  <c:v>7.64</c:v>
                </c:pt>
                <c:pt idx="11">
                  <c:v>7.59</c:v>
                </c:pt>
                <c:pt idx="12">
                  <c:v>7.57</c:v>
                </c:pt>
                <c:pt idx="13">
                  <c:v>7.64</c:v>
                </c:pt>
                <c:pt idx="14">
                  <c:v>7.64</c:v>
                </c:pt>
                <c:pt idx="15">
                  <c:v>7.35</c:v>
                </c:pt>
                <c:pt idx="16">
                  <c:v>7.18</c:v>
                </c:pt>
                <c:pt idx="17">
                  <c:v>7.13</c:v>
                </c:pt>
                <c:pt idx="18">
                  <c:v>7.18</c:v>
                </c:pt>
                <c:pt idx="19">
                  <c:v>7.22</c:v>
                </c:pt>
                <c:pt idx="20">
                  <c:v>7.19</c:v>
                </c:pt>
                <c:pt idx="21">
                  <c:v>7.28</c:v>
                </c:pt>
                <c:pt idx="22">
                  <c:v>7.34</c:v>
                </c:pt>
                <c:pt idx="23">
                  <c:v>7.29</c:v>
                </c:pt>
                <c:pt idx="24">
                  <c:v>7.13</c:v>
                </c:pt>
                <c:pt idx="25">
                  <c:v>7.1</c:v>
                </c:pt>
                <c:pt idx="26">
                  <c:v>7.28</c:v>
                </c:pt>
                <c:pt idx="27">
                  <c:v>7.4</c:v>
                </c:pt>
                <c:pt idx="28">
                  <c:v>7.37</c:v>
                </c:pt>
                <c:pt idx="29">
                  <c:v>7.33</c:v>
                </c:pt>
                <c:pt idx="30">
                  <c:v>7.42</c:v>
                </c:pt>
                <c:pt idx="31">
                  <c:v>7.45</c:v>
                </c:pt>
                <c:pt idx="32">
                  <c:v>7.56</c:v>
                </c:pt>
                <c:pt idx="33">
                  <c:v>7.73</c:v>
                </c:pt>
                <c:pt idx="34">
                  <c:v>7.7</c:v>
                </c:pt>
                <c:pt idx="35">
                  <c:v>7.59</c:v>
                </c:pt>
                <c:pt idx="36">
                  <c:v>7.63</c:v>
                </c:pt>
                <c:pt idx="37">
                  <c:v>7.67</c:v>
                </c:pt>
                <c:pt idx="38">
                  <c:v>8.0399999999999991</c:v>
                </c:pt>
                <c:pt idx="39">
                  <c:v>8.17</c:v>
                </c:pt>
                <c:pt idx="40">
                  <c:v>8.15</c:v>
                </c:pt>
                <c:pt idx="41">
                  <c:v>8.51</c:v>
                </c:pt>
                <c:pt idx="42">
                  <c:v>8.6</c:v>
                </c:pt>
                <c:pt idx="43">
                  <c:v>8.36</c:v>
                </c:pt>
                <c:pt idx="44">
                  <c:v>8.27</c:v>
                </c:pt>
                <c:pt idx="45">
                  <c:v>8.35</c:v>
                </c:pt>
                <c:pt idx="46">
                  <c:v>8.5500000000000007</c:v>
                </c:pt>
                <c:pt idx="47">
                  <c:v>8.4700000000000006</c:v>
                </c:pt>
                <c:pt idx="48">
                  <c:v>8.4499999999999993</c:v>
                </c:pt>
                <c:pt idx="49">
                  <c:v>8.42</c:v>
                </c:pt>
                <c:pt idx="50">
                  <c:v>8.4700000000000006</c:v>
                </c:pt>
                <c:pt idx="51">
                  <c:v>8.52</c:v>
                </c:pt>
                <c:pt idx="52">
                  <c:v>8.4499999999999993</c:v>
                </c:pt>
                <c:pt idx="53">
                  <c:v>8.4700000000000006</c:v>
                </c:pt>
                <c:pt idx="54">
                  <c:v>8.31</c:v>
                </c:pt>
                <c:pt idx="55">
                  <c:v>8.2100000000000009</c:v>
                </c:pt>
                <c:pt idx="56">
                  <c:v>8.17</c:v>
                </c:pt>
                <c:pt idx="57">
                  <c:v>7.96</c:v>
                </c:pt>
                <c:pt idx="58">
                  <c:v>7.97</c:v>
                </c:pt>
                <c:pt idx="59">
                  <c:v>7.9</c:v>
                </c:pt>
                <c:pt idx="60">
                  <c:v>8.02</c:v>
                </c:pt>
                <c:pt idx="61">
                  <c:v>7.93</c:v>
                </c:pt>
                <c:pt idx="62">
                  <c:v>7.94</c:v>
                </c:pt>
                <c:pt idx="63">
                  <c:v>8</c:v>
                </c:pt>
                <c:pt idx="64">
                  <c:v>8</c:v>
                </c:pt>
                <c:pt idx="65">
                  <c:v>7.97</c:v>
                </c:pt>
                <c:pt idx="66">
                  <c:v>7.75</c:v>
                </c:pt>
                <c:pt idx="67">
                  <c:v>7.88</c:v>
                </c:pt>
                <c:pt idx="68">
                  <c:v>7.88</c:v>
                </c:pt>
                <c:pt idx="69">
                  <c:v>7.87</c:v>
                </c:pt>
                <c:pt idx="70">
                  <c:v>8.08</c:v>
                </c:pt>
                <c:pt idx="71">
                  <c:v>8.17</c:v>
                </c:pt>
                <c:pt idx="72">
                  <c:v>8.0299999999999994</c:v>
                </c:pt>
                <c:pt idx="73">
                  <c:v>7.93</c:v>
                </c:pt>
                <c:pt idx="74">
                  <c:v>7.9</c:v>
                </c:pt>
                <c:pt idx="75">
                  <c:v>7.92</c:v>
                </c:pt>
                <c:pt idx="76">
                  <c:v>7.82</c:v>
                </c:pt>
                <c:pt idx="77">
                  <c:v>7.53</c:v>
                </c:pt>
                <c:pt idx="78">
                  <c:v>7.31</c:v>
                </c:pt>
                <c:pt idx="79">
                  <c:v>7.3</c:v>
                </c:pt>
                <c:pt idx="80">
                  <c:v>7.36</c:v>
                </c:pt>
                <c:pt idx="81">
                  <c:v>7.47</c:v>
                </c:pt>
                <c:pt idx="82">
                  <c:v>7.49</c:v>
                </c:pt>
                <c:pt idx="83">
                  <c:v>7.34</c:v>
                </c:pt>
                <c:pt idx="84">
                  <c:v>7.13</c:v>
                </c:pt>
                <c:pt idx="85">
                  <c:v>7.08</c:v>
                </c:pt>
                <c:pt idx="86">
                  <c:v>7.17</c:v>
                </c:pt>
                <c:pt idx="87">
                  <c:v>7.13</c:v>
                </c:pt>
                <c:pt idx="88">
                  <c:v>7.06</c:v>
                </c:pt>
                <c:pt idx="89">
                  <c:v>6.95</c:v>
                </c:pt>
                <c:pt idx="90">
                  <c:v>6.94</c:v>
                </c:pt>
                <c:pt idx="91">
                  <c:v>6.89</c:v>
                </c:pt>
                <c:pt idx="92">
                  <c:v>6.88</c:v>
                </c:pt>
                <c:pt idx="93">
                  <c:v>6.9</c:v>
                </c:pt>
                <c:pt idx="94">
                  <c:v>6.82</c:v>
                </c:pt>
                <c:pt idx="95">
                  <c:v>6.75</c:v>
                </c:pt>
                <c:pt idx="96">
                  <c:v>6.83</c:v>
                </c:pt>
                <c:pt idx="97">
                  <c:v>6.87</c:v>
                </c:pt>
                <c:pt idx="98">
                  <c:v>6.87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67-4A3B-8AA9-EF2F79EDE3D9}"/>
            </c:ext>
          </c:extLst>
        </c:ser>
        <c:ser>
          <c:idx val="2"/>
          <c:order val="2"/>
          <c:tx>
            <c:strRef>
              <c:f>主頁面!$AN$2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主頁面!$AK$3:$AK$101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主頁面!$AN$3:$AN$101</c:f>
              <c:numCache>
                <c:formatCode>General</c:formatCode>
                <c:ptCount val="99"/>
                <c:pt idx="0">
                  <c:v>6.99</c:v>
                </c:pt>
                <c:pt idx="1">
                  <c:v>7.11</c:v>
                </c:pt>
                <c:pt idx="2">
                  <c:v>7.15</c:v>
                </c:pt>
                <c:pt idx="3">
                  <c:v>7.32</c:v>
                </c:pt>
                <c:pt idx="4">
                  <c:v>7.16</c:v>
                </c:pt>
                <c:pt idx="5">
                  <c:v>7.05</c:v>
                </c:pt>
                <c:pt idx="6">
                  <c:v>7.09</c:v>
                </c:pt>
                <c:pt idx="7">
                  <c:v>7.16</c:v>
                </c:pt>
                <c:pt idx="8">
                  <c:v>7</c:v>
                </c:pt>
                <c:pt idx="9">
                  <c:v>7.06</c:v>
                </c:pt>
                <c:pt idx="10">
                  <c:v>7.29</c:v>
                </c:pt>
                <c:pt idx="11">
                  <c:v>7.32</c:v>
                </c:pt>
                <c:pt idx="12">
                  <c:v>7.45</c:v>
                </c:pt>
                <c:pt idx="13">
                  <c:v>7.46</c:v>
                </c:pt>
                <c:pt idx="14">
                  <c:v>7.36</c:v>
                </c:pt>
                <c:pt idx="15">
                  <c:v>6.96</c:v>
                </c:pt>
                <c:pt idx="16">
                  <c:v>6.98</c:v>
                </c:pt>
                <c:pt idx="17">
                  <c:v>6.97</c:v>
                </c:pt>
                <c:pt idx="18">
                  <c:v>7.03</c:v>
                </c:pt>
                <c:pt idx="19">
                  <c:v>7.1</c:v>
                </c:pt>
                <c:pt idx="20">
                  <c:v>7.09</c:v>
                </c:pt>
                <c:pt idx="21">
                  <c:v>7.16</c:v>
                </c:pt>
                <c:pt idx="22">
                  <c:v>7.21</c:v>
                </c:pt>
                <c:pt idx="23">
                  <c:v>7.1</c:v>
                </c:pt>
                <c:pt idx="24">
                  <c:v>6.97</c:v>
                </c:pt>
                <c:pt idx="25">
                  <c:v>7</c:v>
                </c:pt>
                <c:pt idx="26">
                  <c:v>7.06</c:v>
                </c:pt>
                <c:pt idx="27">
                  <c:v>7.2</c:v>
                </c:pt>
                <c:pt idx="28">
                  <c:v>7.17</c:v>
                </c:pt>
                <c:pt idx="29">
                  <c:v>7.21</c:v>
                </c:pt>
                <c:pt idx="30">
                  <c:v>7.28</c:v>
                </c:pt>
                <c:pt idx="31">
                  <c:v>7.36</c:v>
                </c:pt>
                <c:pt idx="32">
                  <c:v>7.38</c:v>
                </c:pt>
                <c:pt idx="33">
                  <c:v>7.53</c:v>
                </c:pt>
                <c:pt idx="34">
                  <c:v>7.46</c:v>
                </c:pt>
                <c:pt idx="35">
                  <c:v>7.43</c:v>
                </c:pt>
                <c:pt idx="36">
                  <c:v>7.43</c:v>
                </c:pt>
                <c:pt idx="37">
                  <c:v>7.53</c:v>
                </c:pt>
                <c:pt idx="38">
                  <c:v>7.66</c:v>
                </c:pt>
                <c:pt idx="39">
                  <c:v>7.86</c:v>
                </c:pt>
                <c:pt idx="40">
                  <c:v>7.86</c:v>
                </c:pt>
                <c:pt idx="41">
                  <c:v>7.98</c:v>
                </c:pt>
                <c:pt idx="42">
                  <c:v>8.36</c:v>
                </c:pt>
                <c:pt idx="43">
                  <c:v>8.11</c:v>
                </c:pt>
                <c:pt idx="44">
                  <c:v>8.11</c:v>
                </c:pt>
                <c:pt idx="45">
                  <c:v>8.11</c:v>
                </c:pt>
                <c:pt idx="46">
                  <c:v>8.26</c:v>
                </c:pt>
                <c:pt idx="47">
                  <c:v>8.25</c:v>
                </c:pt>
                <c:pt idx="48">
                  <c:v>8.32</c:v>
                </c:pt>
                <c:pt idx="49">
                  <c:v>8.25</c:v>
                </c:pt>
                <c:pt idx="50">
                  <c:v>8.31</c:v>
                </c:pt>
                <c:pt idx="51">
                  <c:v>8.3699999999999992</c:v>
                </c:pt>
                <c:pt idx="52">
                  <c:v>8.2899999999999991</c:v>
                </c:pt>
                <c:pt idx="53">
                  <c:v>8.32</c:v>
                </c:pt>
                <c:pt idx="54">
                  <c:v>8.1999999999999993</c:v>
                </c:pt>
                <c:pt idx="55">
                  <c:v>8.07</c:v>
                </c:pt>
                <c:pt idx="56">
                  <c:v>7.75</c:v>
                </c:pt>
                <c:pt idx="57">
                  <c:v>7.73</c:v>
                </c:pt>
                <c:pt idx="58">
                  <c:v>7.87</c:v>
                </c:pt>
                <c:pt idx="59">
                  <c:v>7.81</c:v>
                </c:pt>
                <c:pt idx="60">
                  <c:v>7.82</c:v>
                </c:pt>
                <c:pt idx="61">
                  <c:v>7.82</c:v>
                </c:pt>
                <c:pt idx="62">
                  <c:v>7.76</c:v>
                </c:pt>
                <c:pt idx="63">
                  <c:v>7.77</c:v>
                </c:pt>
                <c:pt idx="64">
                  <c:v>7.91</c:v>
                </c:pt>
                <c:pt idx="65">
                  <c:v>7.66</c:v>
                </c:pt>
                <c:pt idx="66">
                  <c:v>7.65</c:v>
                </c:pt>
                <c:pt idx="67">
                  <c:v>7.69</c:v>
                </c:pt>
                <c:pt idx="68">
                  <c:v>7.77</c:v>
                </c:pt>
                <c:pt idx="69">
                  <c:v>7.8</c:v>
                </c:pt>
                <c:pt idx="70">
                  <c:v>7.83</c:v>
                </c:pt>
                <c:pt idx="71">
                  <c:v>7.94</c:v>
                </c:pt>
                <c:pt idx="72">
                  <c:v>7.79</c:v>
                </c:pt>
                <c:pt idx="73">
                  <c:v>7.82</c:v>
                </c:pt>
                <c:pt idx="74">
                  <c:v>7.75</c:v>
                </c:pt>
                <c:pt idx="75">
                  <c:v>7.77</c:v>
                </c:pt>
                <c:pt idx="76">
                  <c:v>7.73</c:v>
                </c:pt>
                <c:pt idx="77">
                  <c:v>7.1</c:v>
                </c:pt>
                <c:pt idx="78">
                  <c:v>7.16</c:v>
                </c:pt>
                <c:pt idx="79">
                  <c:v>7.18</c:v>
                </c:pt>
                <c:pt idx="80">
                  <c:v>7.18</c:v>
                </c:pt>
                <c:pt idx="81">
                  <c:v>7.2</c:v>
                </c:pt>
                <c:pt idx="82">
                  <c:v>7.25</c:v>
                </c:pt>
                <c:pt idx="83">
                  <c:v>7.14</c:v>
                </c:pt>
                <c:pt idx="84">
                  <c:v>6.92</c:v>
                </c:pt>
                <c:pt idx="85">
                  <c:v>6.95</c:v>
                </c:pt>
                <c:pt idx="86">
                  <c:v>6.98</c:v>
                </c:pt>
                <c:pt idx="87">
                  <c:v>7</c:v>
                </c:pt>
                <c:pt idx="88">
                  <c:v>6.83</c:v>
                </c:pt>
                <c:pt idx="89">
                  <c:v>6.8</c:v>
                </c:pt>
                <c:pt idx="90">
                  <c:v>6.75</c:v>
                </c:pt>
                <c:pt idx="91">
                  <c:v>6.77</c:v>
                </c:pt>
                <c:pt idx="92">
                  <c:v>6.88</c:v>
                </c:pt>
                <c:pt idx="93">
                  <c:v>6.75</c:v>
                </c:pt>
                <c:pt idx="94">
                  <c:v>6.71</c:v>
                </c:pt>
                <c:pt idx="95">
                  <c:v>6.62</c:v>
                </c:pt>
                <c:pt idx="96">
                  <c:v>6.62</c:v>
                </c:pt>
                <c:pt idx="97">
                  <c:v>6.8</c:v>
                </c:pt>
                <c:pt idx="98">
                  <c:v>6.76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67-4A3B-8AA9-EF2F79EDE3D9}"/>
            </c:ext>
          </c:extLst>
        </c:ser>
        <c:ser>
          <c:idx val="3"/>
          <c:order val="3"/>
          <c:tx>
            <c:strRef>
              <c:f>主頁面!$AO$2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主頁面!$AK$3:$AK$101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主頁面!$AO$3:$AO$101</c:f>
              <c:numCache>
                <c:formatCode>General</c:formatCode>
                <c:ptCount val="99"/>
                <c:pt idx="0">
                  <c:v>7.23</c:v>
                </c:pt>
                <c:pt idx="1">
                  <c:v>7.22</c:v>
                </c:pt>
                <c:pt idx="2">
                  <c:v>7.44</c:v>
                </c:pt>
                <c:pt idx="3">
                  <c:v>7.4</c:v>
                </c:pt>
                <c:pt idx="4">
                  <c:v>7.2</c:v>
                </c:pt>
                <c:pt idx="5">
                  <c:v>7.15</c:v>
                </c:pt>
                <c:pt idx="6">
                  <c:v>7.25</c:v>
                </c:pt>
                <c:pt idx="7">
                  <c:v>7.18</c:v>
                </c:pt>
                <c:pt idx="8">
                  <c:v>7.07</c:v>
                </c:pt>
                <c:pt idx="9">
                  <c:v>7.2</c:v>
                </c:pt>
                <c:pt idx="10">
                  <c:v>7.6</c:v>
                </c:pt>
                <c:pt idx="11">
                  <c:v>7.47</c:v>
                </c:pt>
                <c:pt idx="12">
                  <c:v>7.55</c:v>
                </c:pt>
                <c:pt idx="13">
                  <c:v>7.6</c:v>
                </c:pt>
                <c:pt idx="14">
                  <c:v>7.41</c:v>
                </c:pt>
                <c:pt idx="15">
                  <c:v>7.08</c:v>
                </c:pt>
                <c:pt idx="16">
                  <c:v>7.03</c:v>
                </c:pt>
                <c:pt idx="17">
                  <c:v>7.13</c:v>
                </c:pt>
                <c:pt idx="18">
                  <c:v>7.15</c:v>
                </c:pt>
                <c:pt idx="19">
                  <c:v>7.15</c:v>
                </c:pt>
                <c:pt idx="20">
                  <c:v>7.19</c:v>
                </c:pt>
                <c:pt idx="21">
                  <c:v>7.22</c:v>
                </c:pt>
                <c:pt idx="22">
                  <c:v>7.26</c:v>
                </c:pt>
                <c:pt idx="23">
                  <c:v>7.11</c:v>
                </c:pt>
                <c:pt idx="24">
                  <c:v>7.03</c:v>
                </c:pt>
                <c:pt idx="25">
                  <c:v>7.1</c:v>
                </c:pt>
                <c:pt idx="26">
                  <c:v>7.24</c:v>
                </c:pt>
                <c:pt idx="27">
                  <c:v>7.34</c:v>
                </c:pt>
                <c:pt idx="28">
                  <c:v>7.27</c:v>
                </c:pt>
                <c:pt idx="29">
                  <c:v>7.25</c:v>
                </c:pt>
                <c:pt idx="30">
                  <c:v>7.36</c:v>
                </c:pt>
                <c:pt idx="31">
                  <c:v>7.41</c:v>
                </c:pt>
                <c:pt idx="32">
                  <c:v>7.56</c:v>
                </c:pt>
                <c:pt idx="33">
                  <c:v>7.58</c:v>
                </c:pt>
                <c:pt idx="34">
                  <c:v>7.6</c:v>
                </c:pt>
                <c:pt idx="35">
                  <c:v>7.43</c:v>
                </c:pt>
                <c:pt idx="36">
                  <c:v>7.57</c:v>
                </c:pt>
                <c:pt idx="37">
                  <c:v>7.65</c:v>
                </c:pt>
                <c:pt idx="38">
                  <c:v>8.02</c:v>
                </c:pt>
                <c:pt idx="39">
                  <c:v>7.98</c:v>
                </c:pt>
                <c:pt idx="40">
                  <c:v>7.99</c:v>
                </c:pt>
                <c:pt idx="41">
                  <c:v>8.4700000000000006</c:v>
                </c:pt>
                <c:pt idx="42">
                  <c:v>8.5</c:v>
                </c:pt>
                <c:pt idx="43">
                  <c:v>8.18</c:v>
                </c:pt>
                <c:pt idx="44">
                  <c:v>8.1199999999999992</c:v>
                </c:pt>
                <c:pt idx="45">
                  <c:v>8.24</c:v>
                </c:pt>
                <c:pt idx="46">
                  <c:v>8.3800000000000008</c:v>
                </c:pt>
                <c:pt idx="47">
                  <c:v>8.4499999999999993</c:v>
                </c:pt>
                <c:pt idx="48">
                  <c:v>8.33</c:v>
                </c:pt>
                <c:pt idx="49">
                  <c:v>8.3000000000000007</c:v>
                </c:pt>
                <c:pt idx="50">
                  <c:v>8.3699999999999992</c:v>
                </c:pt>
                <c:pt idx="51">
                  <c:v>8.4600000000000009</c:v>
                </c:pt>
                <c:pt idx="52">
                  <c:v>8.4</c:v>
                </c:pt>
                <c:pt idx="53">
                  <c:v>8.3699999999999992</c:v>
                </c:pt>
                <c:pt idx="54">
                  <c:v>8.23</c:v>
                </c:pt>
                <c:pt idx="55">
                  <c:v>8.18</c:v>
                </c:pt>
                <c:pt idx="56">
                  <c:v>7.75</c:v>
                </c:pt>
                <c:pt idx="57">
                  <c:v>7.88</c:v>
                </c:pt>
                <c:pt idx="58">
                  <c:v>7.91</c:v>
                </c:pt>
                <c:pt idx="59">
                  <c:v>7.88</c:v>
                </c:pt>
                <c:pt idx="60">
                  <c:v>7.85</c:v>
                </c:pt>
                <c:pt idx="61">
                  <c:v>7.88</c:v>
                </c:pt>
                <c:pt idx="62">
                  <c:v>7.84</c:v>
                </c:pt>
                <c:pt idx="63">
                  <c:v>7.98</c:v>
                </c:pt>
                <c:pt idx="64">
                  <c:v>7.92</c:v>
                </c:pt>
                <c:pt idx="65">
                  <c:v>7.72</c:v>
                </c:pt>
                <c:pt idx="66">
                  <c:v>7.69</c:v>
                </c:pt>
                <c:pt idx="67">
                  <c:v>7.88</c:v>
                </c:pt>
                <c:pt idx="68">
                  <c:v>7.82</c:v>
                </c:pt>
                <c:pt idx="69">
                  <c:v>7.86</c:v>
                </c:pt>
                <c:pt idx="70">
                  <c:v>7.95</c:v>
                </c:pt>
                <c:pt idx="71">
                  <c:v>7.94</c:v>
                </c:pt>
                <c:pt idx="72">
                  <c:v>7.83</c:v>
                </c:pt>
                <c:pt idx="73">
                  <c:v>7.82</c:v>
                </c:pt>
                <c:pt idx="74">
                  <c:v>7.84</c:v>
                </c:pt>
                <c:pt idx="75">
                  <c:v>7.82</c:v>
                </c:pt>
                <c:pt idx="76">
                  <c:v>7.77</c:v>
                </c:pt>
                <c:pt idx="77">
                  <c:v>7.33</c:v>
                </c:pt>
                <c:pt idx="78">
                  <c:v>7.24</c:v>
                </c:pt>
                <c:pt idx="79">
                  <c:v>7.19</c:v>
                </c:pt>
                <c:pt idx="80">
                  <c:v>7.28</c:v>
                </c:pt>
                <c:pt idx="81">
                  <c:v>7.42</c:v>
                </c:pt>
                <c:pt idx="82">
                  <c:v>7.27</c:v>
                </c:pt>
                <c:pt idx="83">
                  <c:v>7.15</c:v>
                </c:pt>
                <c:pt idx="84">
                  <c:v>6.98</c:v>
                </c:pt>
                <c:pt idx="85">
                  <c:v>7.07</c:v>
                </c:pt>
                <c:pt idx="86">
                  <c:v>7</c:v>
                </c:pt>
                <c:pt idx="87">
                  <c:v>7.06</c:v>
                </c:pt>
                <c:pt idx="88">
                  <c:v>6.97</c:v>
                </c:pt>
                <c:pt idx="89">
                  <c:v>6.94</c:v>
                </c:pt>
                <c:pt idx="90">
                  <c:v>6.79</c:v>
                </c:pt>
                <c:pt idx="91">
                  <c:v>6.89</c:v>
                </c:pt>
                <c:pt idx="92">
                  <c:v>6.88</c:v>
                </c:pt>
                <c:pt idx="93">
                  <c:v>6.79</c:v>
                </c:pt>
                <c:pt idx="94">
                  <c:v>6.74</c:v>
                </c:pt>
                <c:pt idx="95">
                  <c:v>6.63</c:v>
                </c:pt>
                <c:pt idx="96">
                  <c:v>6.77</c:v>
                </c:pt>
                <c:pt idx="97">
                  <c:v>6.83</c:v>
                </c:pt>
                <c:pt idx="98">
                  <c:v>6.83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67-4A3B-8AA9-EF2F79EDE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7841576"/>
        <c:axId val="527839608"/>
      </c:stockChart>
      <c:dateAx>
        <c:axId val="527841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39608"/>
        <c:crosses val="autoZero"/>
        <c:auto val="1"/>
        <c:lblOffset val="100"/>
        <c:baseTimeUnit val="days"/>
      </c:dateAx>
      <c:valAx>
        <c:axId val="527839608"/>
        <c:scaling>
          <c:orientation val="minMax"/>
          <c:max val="8.6"/>
          <c:min val="6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主頁面!$AT$1</c:f>
          <c:strCache>
            <c:ptCount val="1"/>
            <c:pt idx="0">
              <c:v>0956 新天綠色能源股份有限公司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主頁面!$AU$2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主頁面!$AT$3:$AT$101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主頁面!$AU$3:$AU$101</c:f>
              <c:numCache>
                <c:formatCode>General</c:formatCode>
                <c:ptCount val="99"/>
                <c:pt idx="0">
                  <c:v>1.69</c:v>
                </c:pt>
                <c:pt idx="1">
                  <c:v>1.64</c:v>
                </c:pt>
                <c:pt idx="2">
                  <c:v>1.7</c:v>
                </c:pt>
                <c:pt idx="3">
                  <c:v>1.7</c:v>
                </c:pt>
                <c:pt idx="4">
                  <c:v>1.69</c:v>
                </c:pt>
                <c:pt idx="5">
                  <c:v>1.65</c:v>
                </c:pt>
                <c:pt idx="6">
                  <c:v>1.66</c:v>
                </c:pt>
                <c:pt idx="7">
                  <c:v>1.67</c:v>
                </c:pt>
                <c:pt idx="8">
                  <c:v>1.65</c:v>
                </c:pt>
                <c:pt idx="9">
                  <c:v>1.64</c:v>
                </c:pt>
                <c:pt idx="10">
                  <c:v>1.65</c:v>
                </c:pt>
                <c:pt idx="11">
                  <c:v>1.66</c:v>
                </c:pt>
                <c:pt idx="12">
                  <c:v>1.65</c:v>
                </c:pt>
                <c:pt idx="13">
                  <c:v>1.65</c:v>
                </c:pt>
                <c:pt idx="14">
                  <c:v>1.65</c:v>
                </c:pt>
                <c:pt idx="15">
                  <c:v>1.6</c:v>
                </c:pt>
                <c:pt idx="16">
                  <c:v>1.55</c:v>
                </c:pt>
                <c:pt idx="17">
                  <c:v>1.55</c:v>
                </c:pt>
                <c:pt idx="18">
                  <c:v>1.62</c:v>
                </c:pt>
                <c:pt idx="19">
                  <c:v>1.59</c:v>
                </c:pt>
                <c:pt idx="20">
                  <c:v>1.59</c:v>
                </c:pt>
                <c:pt idx="21">
                  <c:v>1.59</c:v>
                </c:pt>
                <c:pt idx="22">
                  <c:v>1.51</c:v>
                </c:pt>
                <c:pt idx="23">
                  <c:v>1.53</c:v>
                </c:pt>
                <c:pt idx="24">
                  <c:v>1.51</c:v>
                </c:pt>
                <c:pt idx="25">
                  <c:v>1.51</c:v>
                </c:pt>
                <c:pt idx="26">
                  <c:v>1.53</c:v>
                </c:pt>
                <c:pt idx="27">
                  <c:v>1.51</c:v>
                </c:pt>
                <c:pt idx="28">
                  <c:v>1.53</c:v>
                </c:pt>
                <c:pt idx="29">
                  <c:v>1.53</c:v>
                </c:pt>
                <c:pt idx="30">
                  <c:v>1.5</c:v>
                </c:pt>
                <c:pt idx="31">
                  <c:v>1.51</c:v>
                </c:pt>
                <c:pt idx="32">
                  <c:v>1.51</c:v>
                </c:pt>
                <c:pt idx="33">
                  <c:v>1.51</c:v>
                </c:pt>
                <c:pt idx="34">
                  <c:v>1.49</c:v>
                </c:pt>
                <c:pt idx="35">
                  <c:v>1.49</c:v>
                </c:pt>
                <c:pt idx="36">
                  <c:v>1.52</c:v>
                </c:pt>
                <c:pt idx="37">
                  <c:v>1.52</c:v>
                </c:pt>
                <c:pt idx="38">
                  <c:v>1.51</c:v>
                </c:pt>
                <c:pt idx="39">
                  <c:v>1.55</c:v>
                </c:pt>
                <c:pt idx="40">
                  <c:v>1.53</c:v>
                </c:pt>
                <c:pt idx="41">
                  <c:v>1.51</c:v>
                </c:pt>
                <c:pt idx="42">
                  <c:v>1.48</c:v>
                </c:pt>
                <c:pt idx="43">
                  <c:v>1.41</c:v>
                </c:pt>
                <c:pt idx="44">
                  <c:v>1.39</c:v>
                </c:pt>
                <c:pt idx="45">
                  <c:v>1.42</c:v>
                </c:pt>
                <c:pt idx="46">
                  <c:v>1.44</c:v>
                </c:pt>
                <c:pt idx="47">
                  <c:v>1.42</c:v>
                </c:pt>
                <c:pt idx="48">
                  <c:v>1.44</c:v>
                </c:pt>
                <c:pt idx="49">
                  <c:v>1.43</c:v>
                </c:pt>
                <c:pt idx="50">
                  <c:v>1.39</c:v>
                </c:pt>
                <c:pt idx="51">
                  <c:v>1.41</c:v>
                </c:pt>
                <c:pt idx="52">
                  <c:v>1.39</c:v>
                </c:pt>
                <c:pt idx="53">
                  <c:v>1.4</c:v>
                </c:pt>
                <c:pt idx="54">
                  <c:v>1.39</c:v>
                </c:pt>
                <c:pt idx="55">
                  <c:v>1.41</c:v>
                </c:pt>
                <c:pt idx="56">
                  <c:v>1.45</c:v>
                </c:pt>
                <c:pt idx="57">
                  <c:v>1.42</c:v>
                </c:pt>
                <c:pt idx="58">
                  <c:v>1.43</c:v>
                </c:pt>
                <c:pt idx="59">
                  <c:v>1.4</c:v>
                </c:pt>
                <c:pt idx="60">
                  <c:v>1.41</c:v>
                </c:pt>
                <c:pt idx="61">
                  <c:v>1.52</c:v>
                </c:pt>
                <c:pt idx="62">
                  <c:v>1.65</c:v>
                </c:pt>
                <c:pt idx="63">
                  <c:v>1.64</c:v>
                </c:pt>
                <c:pt idx="64">
                  <c:v>1.64</c:v>
                </c:pt>
                <c:pt idx="65">
                  <c:v>1.68</c:v>
                </c:pt>
                <c:pt idx="66">
                  <c:v>1.68</c:v>
                </c:pt>
                <c:pt idx="67">
                  <c:v>1.67</c:v>
                </c:pt>
                <c:pt idx="68">
                  <c:v>1.73</c:v>
                </c:pt>
                <c:pt idx="69">
                  <c:v>1.7</c:v>
                </c:pt>
                <c:pt idx="70">
                  <c:v>1.7</c:v>
                </c:pt>
                <c:pt idx="71">
                  <c:v>1.68</c:v>
                </c:pt>
                <c:pt idx="72">
                  <c:v>1.67</c:v>
                </c:pt>
                <c:pt idx="73">
                  <c:v>1.64</c:v>
                </c:pt>
                <c:pt idx="74">
                  <c:v>1.67</c:v>
                </c:pt>
                <c:pt idx="75">
                  <c:v>1.69</c:v>
                </c:pt>
                <c:pt idx="76">
                  <c:v>1.65</c:v>
                </c:pt>
                <c:pt idx="77">
                  <c:v>1.67</c:v>
                </c:pt>
                <c:pt idx="78">
                  <c:v>1.68</c:v>
                </c:pt>
                <c:pt idx="79">
                  <c:v>1.72</c:v>
                </c:pt>
                <c:pt idx="80">
                  <c:v>1.72</c:v>
                </c:pt>
                <c:pt idx="81">
                  <c:v>1.7</c:v>
                </c:pt>
                <c:pt idx="82">
                  <c:v>1.7</c:v>
                </c:pt>
                <c:pt idx="83">
                  <c:v>1.67</c:v>
                </c:pt>
                <c:pt idx="84">
                  <c:v>1.65</c:v>
                </c:pt>
                <c:pt idx="85">
                  <c:v>1.66</c:v>
                </c:pt>
                <c:pt idx="86">
                  <c:v>1.8</c:v>
                </c:pt>
                <c:pt idx="87">
                  <c:v>1.82</c:v>
                </c:pt>
                <c:pt idx="88">
                  <c:v>1.77</c:v>
                </c:pt>
                <c:pt idx="89">
                  <c:v>1.73</c:v>
                </c:pt>
                <c:pt idx="90">
                  <c:v>1.8</c:v>
                </c:pt>
                <c:pt idx="91">
                  <c:v>1.78</c:v>
                </c:pt>
                <c:pt idx="92">
                  <c:v>1.77</c:v>
                </c:pt>
                <c:pt idx="93">
                  <c:v>1.77</c:v>
                </c:pt>
                <c:pt idx="94">
                  <c:v>1.71</c:v>
                </c:pt>
                <c:pt idx="95">
                  <c:v>1.69</c:v>
                </c:pt>
                <c:pt idx="96">
                  <c:v>1.67</c:v>
                </c:pt>
                <c:pt idx="97">
                  <c:v>1.69</c:v>
                </c:pt>
                <c:pt idx="98">
                  <c:v>1.68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E-4569-8E13-F61BA3DE737C}"/>
            </c:ext>
          </c:extLst>
        </c:ser>
        <c:ser>
          <c:idx val="1"/>
          <c:order val="1"/>
          <c:tx>
            <c:strRef>
              <c:f>主頁面!$AV$2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主頁面!$AT$3:$AT$101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主頁面!$AV$3:$AV$101</c:f>
              <c:numCache>
                <c:formatCode>General</c:formatCode>
                <c:ptCount val="99"/>
                <c:pt idx="0">
                  <c:v>1.72</c:v>
                </c:pt>
                <c:pt idx="1">
                  <c:v>1.7</c:v>
                </c:pt>
                <c:pt idx="2">
                  <c:v>1.74</c:v>
                </c:pt>
                <c:pt idx="3">
                  <c:v>1.7</c:v>
                </c:pt>
                <c:pt idx="4">
                  <c:v>1.72</c:v>
                </c:pt>
                <c:pt idx="5">
                  <c:v>1.68</c:v>
                </c:pt>
                <c:pt idx="6">
                  <c:v>1.68</c:v>
                </c:pt>
                <c:pt idx="7">
                  <c:v>1.68</c:v>
                </c:pt>
                <c:pt idx="8">
                  <c:v>1.66</c:v>
                </c:pt>
                <c:pt idx="9">
                  <c:v>1.66</c:v>
                </c:pt>
                <c:pt idx="10">
                  <c:v>1.66</c:v>
                </c:pt>
                <c:pt idx="11">
                  <c:v>1.69</c:v>
                </c:pt>
                <c:pt idx="12">
                  <c:v>1.67</c:v>
                </c:pt>
                <c:pt idx="13">
                  <c:v>1.67</c:v>
                </c:pt>
                <c:pt idx="14">
                  <c:v>1.65</c:v>
                </c:pt>
                <c:pt idx="15">
                  <c:v>1.61</c:v>
                </c:pt>
                <c:pt idx="16">
                  <c:v>1.55</c:v>
                </c:pt>
                <c:pt idx="17">
                  <c:v>1.63</c:v>
                </c:pt>
                <c:pt idx="18">
                  <c:v>1.63</c:v>
                </c:pt>
                <c:pt idx="19">
                  <c:v>1.62</c:v>
                </c:pt>
                <c:pt idx="20">
                  <c:v>1.62</c:v>
                </c:pt>
                <c:pt idx="21">
                  <c:v>1.59</c:v>
                </c:pt>
                <c:pt idx="22">
                  <c:v>1.56</c:v>
                </c:pt>
                <c:pt idx="23">
                  <c:v>1.55</c:v>
                </c:pt>
                <c:pt idx="24">
                  <c:v>1.53</c:v>
                </c:pt>
                <c:pt idx="25">
                  <c:v>1.53</c:v>
                </c:pt>
                <c:pt idx="26">
                  <c:v>1.53</c:v>
                </c:pt>
                <c:pt idx="27">
                  <c:v>1.53</c:v>
                </c:pt>
                <c:pt idx="28">
                  <c:v>1.53</c:v>
                </c:pt>
                <c:pt idx="29">
                  <c:v>1.53</c:v>
                </c:pt>
                <c:pt idx="30">
                  <c:v>1.54</c:v>
                </c:pt>
                <c:pt idx="31">
                  <c:v>1.53</c:v>
                </c:pt>
                <c:pt idx="32">
                  <c:v>1.52</c:v>
                </c:pt>
                <c:pt idx="33">
                  <c:v>1.52</c:v>
                </c:pt>
                <c:pt idx="34">
                  <c:v>1.51</c:v>
                </c:pt>
                <c:pt idx="35">
                  <c:v>1.53</c:v>
                </c:pt>
                <c:pt idx="36">
                  <c:v>1.53</c:v>
                </c:pt>
                <c:pt idx="37">
                  <c:v>1.53</c:v>
                </c:pt>
                <c:pt idx="38">
                  <c:v>1.56</c:v>
                </c:pt>
                <c:pt idx="39">
                  <c:v>1.55</c:v>
                </c:pt>
                <c:pt idx="40">
                  <c:v>1.54</c:v>
                </c:pt>
                <c:pt idx="41">
                  <c:v>1.54</c:v>
                </c:pt>
                <c:pt idx="42">
                  <c:v>1.48</c:v>
                </c:pt>
                <c:pt idx="43">
                  <c:v>1.42</c:v>
                </c:pt>
                <c:pt idx="44">
                  <c:v>1.44</c:v>
                </c:pt>
                <c:pt idx="45">
                  <c:v>1.46</c:v>
                </c:pt>
                <c:pt idx="46">
                  <c:v>1.45</c:v>
                </c:pt>
                <c:pt idx="47">
                  <c:v>1.47</c:v>
                </c:pt>
                <c:pt idx="48">
                  <c:v>1.45</c:v>
                </c:pt>
                <c:pt idx="49">
                  <c:v>1.44</c:v>
                </c:pt>
                <c:pt idx="50">
                  <c:v>1.43</c:v>
                </c:pt>
                <c:pt idx="51">
                  <c:v>1.43</c:v>
                </c:pt>
                <c:pt idx="52">
                  <c:v>1.41</c:v>
                </c:pt>
                <c:pt idx="53">
                  <c:v>1.41</c:v>
                </c:pt>
                <c:pt idx="54">
                  <c:v>1.42</c:v>
                </c:pt>
                <c:pt idx="55">
                  <c:v>1.46</c:v>
                </c:pt>
                <c:pt idx="56">
                  <c:v>1.46</c:v>
                </c:pt>
                <c:pt idx="57">
                  <c:v>1.44</c:v>
                </c:pt>
                <c:pt idx="58">
                  <c:v>1.43</c:v>
                </c:pt>
                <c:pt idx="59">
                  <c:v>1.4</c:v>
                </c:pt>
                <c:pt idx="60">
                  <c:v>1.53</c:v>
                </c:pt>
                <c:pt idx="61">
                  <c:v>1.59</c:v>
                </c:pt>
                <c:pt idx="62">
                  <c:v>1.69</c:v>
                </c:pt>
                <c:pt idx="63">
                  <c:v>1.65</c:v>
                </c:pt>
                <c:pt idx="64">
                  <c:v>1.67</c:v>
                </c:pt>
                <c:pt idx="65">
                  <c:v>1.71</c:v>
                </c:pt>
                <c:pt idx="66">
                  <c:v>1.69</c:v>
                </c:pt>
                <c:pt idx="67">
                  <c:v>1.75</c:v>
                </c:pt>
                <c:pt idx="68">
                  <c:v>1.73</c:v>
                </c:pt>
                <c:pt idx="69">
                  <c:v>1.72</c:v>
                </c:pt>
                <c:pt idx="70">
                  <c:v>1.7</c:v>
                </c:pt>
                <c:pt idx="71">
                  <c:v>1.69</c:v>
                </c:pt>
                <c:pt idx="72">
                  <c:v>1.68</c:v>
                </c:pt>
                <c:pt idx="73">
                  <c:v>1.68</c:v>
                </c:pt>
                <c:pt idx="74">
                  <c:v>1.69</c:v>
                </c:pt>
                <c:pt idx="75">
                  <c:v>1.69</c:v>
                </c:pt>
                <c:pt idx="76">
                  <c:v>1.69</c:v>
                </c:pt>
                <c:pt idx="77">
                  <c:v>1.71</c:v>
                </c:pt>
                <c:pt idx="78">
                  <c:v>1.71</c:v>
                </c:pt>
                <c:pt idx="79">
                  <c:v>1.75</c:v>
                </c:pt>
                <c:pt idx="80">
                  <c:v>1.72</c:v>
                </c:pt>
                <c:pt idx="81">
                  <c:v>1.74</c:v>
                </c:pt>
                <c:pt idx="82">
                  <c:v>1.72</c:v>
                </c:pt>
                <c:pt idx="83">
                  <c:v>1.69</c:v>
                </c:pt>
                <c:pt idx="84">
                  <c:v>1.66</c:v>
                </c:pt>
                <c:pt idx="85">
                  <c:v>1.72</c:v>
                </c:pt>
                <c:pt idx="86">
                  <c:v>1.87</c:v>
                </c:pt>
                <c:pt idx="87">
                  <c:v>1.82</c:v>
                </c:pt>
                <c:pt idx="88">
                  <c:v>1.79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1.77</c:v>
                </c:pt>
                <c:pt idx="93">
                  <c:v>1.77</c:v>
                </c:pt>
                <c:pt idx="94">
                  <c:v>1.73</c:v>
                </c:pt>
                <c:pt idx="95">
                  <c:v>1.7</c:v>
                </c:pt>
                <c:pt idx="96">
                  <c:v>1.69</c:v>
                </c:pt>
                <c:pt idx="97">
                  <c:v>1.69</c:v>
                </c:pt>
                <c:pt idx="98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2E-4569-8E13-F61BA3DE737C}"/>
            </c:ext>
          </c:extLst>
        </c:ser>
        <c:ser>
          <c:idx val="2"/>
          <c:order val="2"/>
          <c:tx>
            <c:strRef>
              <c:f>主頁面!$AW$2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主頁面!$AT$3:$AT$101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主頁面!$AW$3:$AW$101</c:f>
              <c:numCache>
                <c:formatCode>General</c:formatCode>
                <c:ptCount val="99"/>
                <c:pt idx="0">
                  <c:v>1.62</c:v>
                </c:pt>
                <c:pt idx="1">
                  <c:v>1.64</c:v>
                </c:pt>
                <c:pt idx="2">
                  <c:v>1.68</c:v>
                </c:pt>
                <c:pt idx="3">
                  <c:v>1.67</c:v>
                </c:pt>
                <c:pt idx="4">
                  <c:v>1.65</c:v>
                </c:pt>
                <c:pt idx="5">
                  <c:v>1.64</c:v>
                </c:pt>
                <c:pt idx="6">
                  <c:v>1.64</c:v>
                </c:pt>
                <c:pt idx="7">
                  <c:v>1.63</c:v>
                </c:pt>
                <c:pt idx="8">
                  <c:v>1.6</c:v>
                </c:pt>
                <c:pt idx="9">
                  <c:v>1.61</c:v>
                </c:pt>
                <c:pt idx="10">
                  <c:v>1.62</c:v>
                </c:pt>
                <c:pt idx="11">
                  <c:v>1.65</c:v>
                </c:pt>
                <c:pt idx="12">
                  <c:v>1.64</c:v>
                </c:pt>
                <c:pt idx="13">
                  <c:v>1.63</c:v>
                </c:pt>
                <c:pt idx="14">
                  <c:v>1.58</c:v>
                </c:pt>
                <c:pt idx="15">
                  <c:v>1.52</c:v>
                </c:pt>
                <c:pt idx="16">
                  <c:v>1.52</c:v>
                </c:pt>
                <c:pt idx="17">
                  <c:v>1.54</c:v>
                </c:pt>
                <c:pt idx="18">
                  <c:v>1.56</c:v>
                </c:pt>
                <c:pt idx="19">
                  <c:v>1.58</c:v>
                </c:pt>
                <c:pt idx="20">
                  <c:v>1.57</c:v>
                </c:pt>
                <c:pt idx="21">
                  <c:v>1.5</c:v>
                </c:pt>
                <c:pt idx="22">
                  <c:v>1.51</c:v>
                </c:pt>
                <c:pt idx="23">
                  <c:v>1.51</c:v>
                </c:pt>
                <c:pt idx="24">
                  <c:v>1.49</c:v>
                </c:pt>
                <c:pt idx="25">
                  <c:v>1.51</c:v>
                </c:pt>
                <c:pt idx="26">
                  <c:v>1.5</c:v>
                </c:pt>
                <c:pt idx="27">
                  <c:v>1.5</c:v>
                </c:pt>
                <c:pt idx="28">
                  <c:v>1.47</c:v>
                </c:pt>
                <c:pt idx="29">
                  <c:v>1.48</c:v>
                </c:pt>
                <c:pt idx="30">
                  <c:v>1.5</c:v>
                </c:pt>
                <c:pt idx="31">
                  <c:v>1.5</c:v>
                </c:pt>
                <c:pt idx="32">
                  <c:v>1.49</c:v>
                </c:pt>
                <c:pt idx="33">
                  <c:v>1.49</c:v>
                </c:pt>
                <c:pt idx="34">
                  <c:v>1.49</c:v>
                </c:pt>
                <c:pt idx="35">
                  <c:v>1.49</c:v>
                </c:pt>
                <c:pt idx="36">
                  <c:v>1.51</c:v>
                </c:pt>
                <c:pt idx="37">
                  <c:v>1.48</c:v>
                </c:pt>
                <c:pt idx="38">
                  <c:v>1.5</c:v>
                </c:pt>
                <c:pt idx="39">
                  <c:v>1.51</c:v>
                </c:pt>
                <c:pt idx="40">
                  <c:v>1.51</c:v>
                </c:pt>
                <c:pt idx="41">
                  <c:v>1.5</c:v>
                </c:pt>
                <c:pt idx="42">
                  <c:v>1.4</c:v>
                </c:pt>
                <c:pt idx="43">
                  <c:v>1.36</c:v>
                </c:pt>
                <c:pt idx="44">
                  <c:v>1.39</c:v>
                </c:pt>
                <c:pt idx="45">
                  <c:v>1.41</c:v>
                </c:pt>
                <c:pt idx="46">
                  <c:v>1.4</c:v>
                </c:pt>
                <c:pt idx="47">
                  <c:v>1.39</c:v>
                </c:pt>
                <c:pt idx="48">
                  <c:v>1.43</c:v>
                </c:pt>
                <c:pt idx="49">
                  <c:v>1.4</c:v>
                </c:pt>
                <c:pt idx="50">
                  <c:v>1.39</c:v>
                </c:pt>
                <c:pt idx="51">
                  <c:v>1.39</c:v>
                </c:pt>
                <c:pt idx="52">
                  <c:v>1.37</c:v>
                </c:pt>
                <c:pt idx="53">
                  <c:v>1.39</c:v>
                </c:pt>
                <c:pt idx="54">
                  <c:v>1.37</c:v>
                </c:pt>
                <c:pt idx="55">
                  <c:v>1.4</c:v>
                </c:pt>
                <c:pt idx="56">
                  <c:v>1.41</c:v>
                </c:pt>
                <c:pt idx="57">
                  <c:v>1.4</c:v>
                </c:pt>
                <c:pt idx="58">
                  <c:v>1.39</c:v>
                </c:pt>
                <c:pt idx="59">
                  <c:v>1.38</c:v>
                </c:pt>
                <c:pt idx="60">
                  <c:v>1.4</c:v>
                </c:pt>
                <c:pt idx="61">
                  <c:v>1.51</c:v>
                </c:pt>
                <c:pt idx="62">
                  <c:v>1.6</c:v>
                </c:pt>
                <c:pt idx="63">
                  <c:v>1.62</c:v>
                </c:pt>
                <c:pt idx="64">
                  <c:v>1.64</c:v>
                </c:pt>
                <c:pt idx="65">
                  <c:v>1.65</c:v>
                </c:pt>
                <c:pt idx="66">
                  <c:v>1.64</c:v>
                </c:pt>
                <c:pt idx="67">
                  <c:v>1.65</c:v>
                </c:pt>
                <c:pt idx="68">
                  <c:v>1.7</c:v>
                </c:pt>
                <c:pt idx="69">
                  <c:v>1.67</c:v>
                </c:pt>
                <c:pt idx="70">
                  <c:v>1.66</c:v>
                </c:pt>
                <c:pt idx="71">
                  <c:v>1.67</c:v>
                </c:pt>
                <c:pt idx="72">
                  <c:v>1.65</c:v>
                </c:pt>
                <c:pt idx="73">
                  <c:v>1.63</c:v>
                </c:pt>
                <c:pt idx="74">
                  <c:v>1.63</c:v>
                </c:pt>
                <c:pt idx="75">
                  <c:v>1.64</c:v>
                </c:pt>
                <c:pt idx="76">
                  <c:v>1.65</c:v>
                </c:pt>
                <c:pt idx="77">
                  <c:v>1.66</c:v>
                </c:pt>
                <c:pt idx="78">
                  <c:v>1.67</c:v>
                </c:pt>
                <c:pt idx="79">
                  <c:v>1.7</c:v>
                </c:pt>
                <c:pt idx="80">
                  <c:v>1.69</c:v>
                </c:pt>
                <c:pt idx="81">
                  <c:v>1.68</c:v>
                </c:pt>
                <c:pt idx="82">
                  <c:v>1.65</c:v>
                </c:pt>
                <c:pt idx="83">
                  <c:v>1.64</c:v>
                </c:pt>
                <c:pt idx="84">
                  <c:v>1.6</c:v>
                </c:pt>
                <c:pt idx="85">
                  <c:v>1.65</c:v>
                </c:pt>
                <c:pt idx="86">
                  <c:v>1.77</c:v>
                </c:pt>
                <c:pt idx="87">
                  <c:v>1.76</c:v>
                </c:pt>
                <c:pt idx="88">
                  <c:v>1.73</c:v>
                </c:pt>
                <c:pt idx="89">
                  <c:v>1.72</c:v>
                </c:pt>
                <c:pt idx="90">
                  <c:v>1.76</c:v>
                </c:pt>
                <c:pt idx="91">
                  <c:v>1.74</c:v>
                </c:pt>
                <c:pt idx="92">
                  <c:v>1.77</c:v>
                </c:pt>
                <c:pt idx="93">
                  <c:v>1.7</c:v>
                </c:pt>
                <c:pt idx="94">
                  <c:v>1.68</c:v>
                </c:pt>
                <c:pt idx="95">
                  <c:v>1.65</c:v>
                </c:pt>
                <c:pt idx="96">
                  <c:v>1.64</c:v>
                </c:pt>
                <c:pt idx="97">
                  <c:v>1.67</c:v>
                </c:pt>
                <c:pt idx="98">
                  <c:v>1.66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2E-4569-8E13-F61BA3DE737C}"/>
            </c:ext>
          </c:extLst>
        </c:ser>
        <c:ser>
          <c:idx val="3"/>
          <c:order val="3"/>
          <c:tx>
            <c:strRef>
              <c:f>主頁面!$AX$2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主頁面!$AT$3:$AT$101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主頁面!$AX$3:$AX$101</c:f>
              <c:numCache>
                <c:formatCode>General</c:formatCode>
                <c:ptCount val="99"/>
                <c:pt idx="0">
                  <c:v>1.63</c:v>
                </c:pt>
                <c:pt idx="1">
                  <c:v>1.68</c:v>
                </c:pt>
                <c:pt idx="2">
                  <c:v>1.72</c:v>
                </c:pt>
                <c:pt idx="3">
                  <c:v>1.69</c:v>
                </c:pt>
                <c:pt idx="4">
                  <c:v>1.67</c:v>
                </c:pt>
                <c:pt idx="5">
                  <c:v>1.66</c:v>
                </c:pt>
                <c:pt idx="6">
                  <c:v>1.66</c:v>
                </c:pt>
                <c:pt idx="7">
                  <c:v>1.65</c:v>
                </c:pt>
                <c:pt idx="8">
                  <c:v>1.64</c:v>
                </c:pt>
                <c:pt idx="9">
                  <c:v>1.65</c:v>
                </c:pt>
                <c:pt idx="10">
                  <c:v>1.63</c:v>
                </c:pt>
                <c:pt idx="11">
                  <c:v>1.65</c:v>
                </c:pt>
                <c:pt idx="12">
                  <c:v>1.65</c:v>
                </c:pt>
                <c:pt idx="13">
                  <c:v>1.65</c:v>
                </c:pt>
                <c:pt idx="14">
                  <c:v>1.6</c:v>
                </c:pt>
                <c:pt idx="15">
                  <c:v>1.54</c:v>
                </c:pt>
                <c:pt idx="16">
                  <c:v>1.54</c:v>
                </c:pt>
                <c:pt idx="17">
                  <c:v>1.62</c:v>
                </c:pt>
                <c:pt idx="18">
                  <c:v>1.58</c:v>
                </c:pt>
                <c:pt idx="19">
                  <c:v>1.61</c:v>
                </c:pt>
                <c:pt idx="20">
                  <c:v>1.59</c:v>
                </c:pt>
                <c:pt idx="21">
                  <c:v>1.52</c:v>
                </c:pt>
                <c:pt idx="22">
                  <c:v>1.54</c:v>
                </c:pt>
                <c:pt idx="23">
                  <c:v>1.53</c:v>
                </c:pt>
                <c:pt idx="24">
                  <c:v>1.52</c:v>
                </c:pt>
                <c:pt idx="25">
                  <c:v>1.53</c:v>
                </c:pt>
                <c:pt idx="26">
                  <c:v>1.52</c:v>
                </c:pt>
                <c:pt idx="27">
                  <c:v>1.53</c:v>
                </c:pt>
                <c:pt idx="28">
                  <c:v>1.51</c:v>
                </c:pt>
                <c:pt idx="29">
                  <c:v>1.5</c:v>
                </c:pt>
                <c:pt idx="30">
                  <c:v>1.52</c:v>
                </c:pt>
                <c:pt idx="31">
                  <c:v>1.51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1.51</c:v>
                </c:pt>
                <c:pt idx="36">
                  <c:v>1.52</c:v>
                </c:pt>
                <c:pt idx="37">
                  <c:v>1.51</c:v>
                </c:pt>
                <c:pt idx="38">
                  <c:v>1.55</c:v>
                </c:pt>
                <c:pt idx="39">
                  <c:v>1.53</c:v>
                </c:pt>
                <c:pt idx="40">
                  <c:v>1.52</c:v>
                </c:pt>
                <c:pt idx="41">
                  <c:v>1.52</c:v>
                </c:pt>
                <c:pt idx="42">
                  <c:v>1.42</c:v>
                </c:pt>
                <c:pt idx="43">
                  <c:v>1.37</c:v>
                </c:pt>
                <c:pt idx="44">
                  <c:v>1.43</c:v>
                </c:pt>
                <c:pt idx="45">
                  <c:v>1.44</c:v>
                </c:pt>
                <c:pt idx="46">
                  <c:v>1.42</c:v>
                </c:pt>
                <c:pt idx="47">
                  <c:v>1.44</c:v>
                </c:pt>
                <c:pt idx="48">
                  <c:v>1.44</c:v>
                </c:pt>
                <c:pt idx="49">
                  <c:v>1.4</c:v>
                </c:pt>
                <c:pt idx="50">
                  <c:v>1.43</c:v>
                </c:pt>
                <c:pt idx="51">
                  <c:v>1.4</c:v>
                </c:pt>
                <c:pt idx="52">
                  <c:v>1.39</c:v>
                </c:pt>
                <c:pt idx="53">
                  <c:v>1.4</c:v>
                </c:pt>
                <c:pt idx="54">
                  <c:v>1.41</c:v>
                </c:pt>
                <c:pt idx="55">
                  <c:v>1.46</c:v>
                </c:pt>
                <c:pt idx="56">
                  <c:v>1.41</c:v>
                </c:pt>
                <c:pt idx="57">
                  <c:v>1.42</c:v>
                </c:pt>
                <c:pt idx="58">
                  <c:v>1.4</c:v>
                </c:pt>
                <c:pt idx="59">
                  <c:v>1.39</c:v>
                </c:pt>
                <c:pt idx="60">
                  <c:v>1.52</c:v>
                </c:pt>
                <c:pt idx="61">
                  <c:v>1.56</c:v>
                </c:pt>
                <c:pt idx="62">
                  <c:v>1.64</c:v>
                </c:pt>
                <c:pt idx="63">
                  <c:v>1.64</c:v>
                </c:pt>
                <c:pt idx="64">
                  <c:v>1.66</c:v>
                </c:pt>
                <c:pt idx="65">
                  <c:v>1.68</c:v>
                </c:pt>
                <c:pt idx="66">
                  <c:v>1.66</c:v>
                </c:pt>
                <c:pt idx="67">
                  <c:v>1.74</c:v>
                </c:pt>
                <c:pt idx="68">
                  <c:v>1.72</c:v>
                </c:pt>
                <c:pt idx="69">
                  <c:v>1.7</c:v>
                </c:pt>
                <c:pt idx="70">
                  <c:v>1.67</c:v>
                </c:pt>
                <c:pt idx="71">
                  <c:v>1.67</c:v>
                </c:pt>
                <c:pt idx="72">
                  <c:v>1.65</c:v>
                </c:pt>
                <c:pt idx="73">
                  <c:v>1.65</c:v>
                </c:pt>
                <c:pt idx="74">
                  <c:v>1.67</c:v>
                </c:pt>
                <c:pt idx="75">
                  <c:v>1.65</c:v>
                </c:pt>
                <c:pt idx="76">
                  <c:v>1.66</c:v>
                </c:pt>
                <c:pt idx="77">
                  <c:v>1.68</c:v>
                </c:pt>
                <c:pt idx="78">
                  <c:v>1.71</c:v>
                </c:pt>
                <c:pt idx="79">
                  <c:v>1.72</c:v>
                </c:pt>
                <c:pt idx="80">
                  <c:v>1.69</c:v>
                </c:pt>
                <c:pt idx="81">
                  <c:v>1.72</c:v>
                </c:pt>
                <c:pt idx="82">
                  <c:v>1.67</c:v>
                </c:pt>
                <c:pt idx="83">
                  <c:v>1.65</c:v>
                </c:pt>
                <c:pt idx="84">
                  <c:v>1.66</c:v>
                </c:pt>
                <c:pt idx="85">
                  <c:v>1.69</c:v>
                </c:pt>
                <c:pt idx="86">
                  <c:v>1.83</c:v>
                </c:pt>
                <c:pt idx="87">
                  <c:v>1.77</c:v>
                </c:pt>
                <c:pt idx="88">
                  <c:v>1.76</c:v>
                </c:pt>
                <c:pt idx="89">
                  <c:v>1.78</c:v>
                </c:pt>
                <c:pt idx="90">
                  <c:v>1.78</c:v>
                </c:pt>
                <c:pt idx="91">
                  <c:v>1.77</c:v>
                </c:pt>
                <c:pt idx="92">
                  <c:v>1.77</c:v>
                </c:pt>
                <c:pt idx="93">
                  <c:v>1.74</c:v>
                </c:pt>
                <c:pt idx="94">
                  <c:v>1.69</c:v>
                </c:pt>
                <c:pt idx="95">
                  <c:v>1.67</c:v>
                </c:pt>
                <c:pt idx="96">
                  <c:v>1.68</c:v>
                </c:pt>
                <c:pt idx="97">
                  <c:v>1.68</c:v>
                </c:pt>
                <c:pt idx="98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2E-4569-8E13-F61BA3DE7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7845184"/>
        <c:axId val="527848136"/>
      </c:stockChart>
      <c:dateAx>
        <c:axId val="527845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8136"/>
        <c:crosses val="autoZero"/>
        <c:auto val="1"/>
        <c:lblOffset val="100"/>
        <c:baseTimeUnit val="days"/>
      </c:dateAx>
      <c:valAx>
        <c:axId val="527848136"/>
        <c:scaling>
          <c:orientation val="minMax"/>
          <c:max val="1.9000000000000001"/>
          <c:min val="1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主頁面!$BC$1</c:f>
          <c:strCache>
            <c:ptCount val="1"/>
            <c:pt idx="0">
              <c:v>1023 時代集團控股有限公司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主頁面!$BD$2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主頁面!$BC$3:$BC$102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主頁面!$BD$3:$BD$102</c:f>
              <c:numCache>
                <c:formatCode>General</c:formatCode>
                <c:ptCount val="100"/>
                <c:pt idx="0">
                  <c:v>1.6</c:v>
                </c:pt>
                <c:pt idx="1">
                  <c:v>1.59</c:v>
                </c:pt>
                <c:pt idx="2">
                  <c:v>1.57</c:v>
                </c:pt>
                <c:pt idx="3">
                  <c:v>1.57</c:v>
                </c:pt>
                <c:pt idx="4">
                  <c:v>1.57</c:v>
                </c:pt>
                <c:pt idx="5">
                  <c:v>1.54</c:v>
                </c:pt>
                <c:pt idx="6">
                  <c:v>1.5</c:v>
                </c:pt>
                <c:pt idx="7">
                  <c:v>1.47</c:v>
                </c:pt>
                <c:pt idx="8">
                  <c:v>1.64</c:v>
                </c:pt>
                <c:pt idx="9">
                  <c:v>1.59</c:v>
                </c:pt>
                <c:pt idx="10">
                  <c:v>1.59</c:v>
                </c:pt>
                <c:pt idx="11">
                  <c:v>1.57</c:v>
                </c:pt>
                <c:pt idx="12">
                  <c:v>1.6</c:v>
                </c:pt>
                <c:pt idx="13">
                  <c:v>1.62</c:v>
                </c:pt>
                <c:pt idx="14">
                  <c:v>1.59</c:v>
                </c:pt>
                <c:pt idx="15">
                  <c:v>1.65</c:v>
                </c:pt>
                <c:pt idx="16">
                  <c:v>1.73</c:v>
                </c:pt>
                <c:pt idx="17">
                  <c:v>1.72</c:v>
                </c:pt>
                <c:pt idx="18">
                  <c:v>1.71</c:v>
                </c:pt>
                <c:pt idx="19">
                  <c:v>1.7</c:v>
                </c:pt>
                <c:pt idx="20">
                  <c:v>1.67</c:v>
                </c:pt>
                <c:pt idx="21">
                  <c:v>1.68</c:v>
                </c:pt>
                <c:pt idx="22">
                  <c:v>1.69</c:v>
                </c:pt>
                <c:pt idx="23">
                  <c:v>1.65</c:v>
                </c:pt>
                <c:pt idx="24">
                  <c:v>1.66</c:v>
                </c:pt>
                <c:pt idx="25">
                  <c:v>1.77</c:v>
                </c:pt>
                <c:pt idx="26">
                  <c:v>1.75</c:v>
                </c:pt>
                <c:pt idx="27">
                  <c:v>1.75</c:v>
                </c:pt>
                <c:pt idx="28">
                  <c:v>1.74</c:v>
                </c:pt>
                <c:pt idx="29">
                  <c:v>1.63</c:v>
                </c:pt>
                <c:pt idx="30">
                  <c:v>1.69</c:v>
                </c:pt>
                <c:pt idx="31">
                  <c:v>1.7</c:v>
                </c:pt>
                <c:pt idx="32">
                  <c:v>1.72</c:v>
                </c:pt>
                <c:pt idx="33">
                  <c:v>1.72</c:v>
                </c:pt>
                <c:pt idx="34">
                  <c:v>1.76</c:v>
                </c:pt>
                <c:pt idx="35">
                  <c:v>1.72</c:v>
                </c:pt>
                <c:pt idx="36">
                  <c:v>1.73</c:v>
                </c:pt>
                <c:pt idx="37">
                  <c:v>1.73</c:v>
                </c:pt>
                <c:pt idx="38">
                  <c:v>1.73</c:v>
                </c:pt>
                <c:pt idx="39">
                  <c:v>1.73</c:v>
                </c:pt>
                <c:pt idx="40">
                  <c:v>1.73</c:v>
                </c:pt>
                <c:pt idx="41">
                  <c:v>1.74</c:v>
                </c:pt>
                <c:pt idx="42">
                  <c:v>1.73</c:v>
                </c:pt>
                <c:pt idx="43">
                  <c:v>1.85</c:v>
                </c:pt>
                <c:pt idx="44">
                  <c:v>1.82</c:v>
                </c:pt>
                <c:pt idx="45">
                  <c:v>1.8</c:v>
                </c:pt>
                <c:pt idx="46">
                  <c:v>1.84</c:v>
                </c:pt>
                <c:pt idx="47">
                  <c:v>1.92</c:v>
                </c:pt>
                <c:pt idx="48">
                  <c:v>1.88</c:v>
                </c:pt>
                <c:pt idx="49">
                  <c:v>1.87</c:v>
                </c:pt>
                <c:pt idx="50">
                  <c:v>1.8</c:v>
                </c:pt>
                <c:pt idx="51">
                  <c:v>1.8</c:v>
                </c:pt>
                <c:pt idx="52">
                  <c:v>1.77</c:v>
                </c:pt>
                <c:pt idx="53">
                  <c:v>1.73</c:v>
                </c:pt>
                <c:pt idx="54">
                  <c:v>1.76</c:v>
                </c:pt>
                <c:pt idx="55">
                  <c:v>1.79</c:v>
                </c:pt>
                <c:pt idx="56">
                  <c:v>1.78</c:v>
                </c:pt>
                <c:pt idx="57">
                  <c:v>1.76</c:v>
                </c:pt>
                <c:pt idx="58">
                  <c:v>1.76</c:v>
                </c:pt>
                <c:pt idx="59">
                  <c:v>1.79</c:v>
                </c:pt>
                <c:pt idx="60">
                  <c:v>1.76</c:v>
                </c:pt>
                <c:pt idx="61">
                  <c:v>1.76</c:v>
                </c:pt>
                <c:pt idx="62">
                  <c:v>1.76</c:v>
                </c:pt>
                <c:pt idx="63">
                  <c:v>1.74</c:v>
                </c:pt>
                <c:pt idx="64">
                  <c:v>1.77</c:v>
                </c:pt>
                <c:pt idx="65">
                  <c:v>1.73</c:v>
                </c:pt>
                <c:pt idx="66">
                  <c:v>1.76</c:v>
                </c:pt>
                <c:pt idx="67">
                  <c:v>1.78</c:v>
                </c:pt>
                <c:pt idx="68">
                  <c:v>1.77</c:v>
                </c:pt>
                <c:pt idx="69">
                  <c:v>1.74</c:v>
                </c:pt>
                <c:pt idx="70">
                  <c:v>1.76</c:v>
                </c:pt>
                <c:pt idx="71">
                  <c:v>1.77</c:v>
                </c:pt>
                <c:pt idx="72">
                  <c:v>1.77</c:v>
                </c:pt>
                <c:pt idx="73">
                  <c:v>1.78</c:v>
                </c:pt>
                <c:pt idx="74">
                  <c:v>1.76</c:v>
                </c:pt>
                <c:pt idx="75">
                  <c:v>1.76</c:v>
                </c:pt>
                <c:pt idx="76">
                  <c:v>1.75</c:v>
                </c:pt>
                <c:pt idx="77">
                  <c:v>1.71</c:v>
                </c:pt>
                <c:pt idx="78">
                  <c:v>1.74</c:v>
                </c:pt>
                <c:pt idx="79">
                  <c:v>1.71</c:v>
                </c:pt>
                <c:pt idx="80">
                  <c:v>1.74</c:v>
                </c:pt>
                <c:pt idx="81">
                  <c:v>1.75</c:v>
                </c:pt>
                <c:pt idx="82">
                  <c:v>1.74</c:v>
                </c:pt>
                <c:pt idx="83">
                  <c:v>1.71</c:v>
                </c:pt>
                <c:pt idx="84">
                  <c:v>1.69</c:v>
                </c:pt>
                <c:pt idx="85">
                  <c:v>1.69</c:v>
                </c:pt>
                <c:pt idx="86">
                  <c:v>1.69</c:v>
                </c:pt>
                <c:pt idx="87">
                  <c:v>1.7</c:v>
                </c:pt>
                <c:pt idx="88">
                  <c:v>1.67</c:v>
                </c:pt>
                <c:pt idx="89">
                  <c:v>1.67</c:v>
                </c:pt>
                <c:pt idx="90">
                  <c:v>1.67</c:v>
                </c:pt>
                <c:pt idx="91">
                  <c:v>1.66</c:v>
                </c:pt>
                <c:pt idx="92">
                  <c:v>1.66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1.7</c:v>
                </c:pt>
                <c:pt idx="97">
                  <c:v>1.62</c:v>
                </c:pt>
                <c:pt idx="98">
                  <c:v>1.61</c:v>
                </c:pt>
                <c:pt idx="99">
                  <c:v>1.59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83-4D7F-9599-79768909EDED}"/>
            </c:ext>
          </c:extLst>
        </c:ser>
        <c:ser>
          <c:idx val="1"/>
          <c:order val="1"/>
          <c:tx>
            <c:strRef>
              <c:f>主頁面!$BE$2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主頁面!$BC$3:$BC$102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主頁面!$BE$3:$BE$102</c:f>
              <c:numCache>
                <c:formatCode>General</c:formatCode>
                <c:ptCount val="100"/>
                <c:pt idx="0">
                  <c:v>1.61</c:v>
                </c:pt>
                <c:pt idx="1">
                  <c:v>1.6</c:v>
                </c:pt>
                <c:pt idx="2">
                  <c:v>1.59</c:v>
                </c:pt>
                <c:pt idx="3">
                  <c:v>1.57</c:v>
                </c:pt>
                <c:pt idx="4">
                  <c:v>1.59</c:v>
                </c:pt>
                <c:pt idx="5">
                  <c:v>1.55</c:v>
                </c:pt>
                <c:pt idx="6">
                  <c:v>1.51</c:v>
                </c:pt>
                <c:pt idx="7">
                  <c:v>1.73</c:v>
                </c:pt>
                <c:pt idx="8">
                  <c:v>1.7</c:v>
                </c:pt>
                <c:pt idx="9">
                  <c:v>1.6</c:v>
                </c:pt>
                <c:pt idx="10">
                  <c:v>1.6</c:v>
                </c:pt>
                <c:pt idx="11">
                  <c:v>1.61</c:v>
                </c:pt>
                <c:pt idx="12">
                  <c:v>1.64</c:v>
                </c:pt>
                <c:pt idx="13">
                  <c:v>1.62</c:v>
                </c:pt>
                <c:pt idx="14">
                  <c:v>1.67</c:v>
                </c:pt>
                <c:pt idx="15">
                  <c:v>1.72</c:v>
                </c:pt>
                <c:pt idx="16">
                  <c:v>1.78</c:v>
                </c:pt>
                <c:pt idx="17">
                  <c:v>1.75</c:v>
                </c:pt>
                <c:pt idx="18">
                  <c:v>1.74</c:v>
                </c:pt>
                <c:pt idx="19">
                  <c:v>1.73</c:v>
                </c:pt>
                <c:pt idx="20">
                  <c:v>1.7</c:v>
                </c:pt>
                <c:pt idx="21">
                  <c:v>1.69</c:v>
                </c:pt>
                <c:pt idx="22">
                  <c:v>1.7</c:v>
                </c:pt>
                <c:pt idx="23">
                  <c:v>1.67</c:v>
                </c:pt>
                <c:pt idx="24">
                  <c:v>1.79</c:v>
                </c:pt>
                <c:pt idx="25">
                  <c:v>1.79</c:v>
                </c:pt>
                <c:pt idx="26">
                  <c:v>1.77</c:v>
                </c:pt>
                <c:pt idx="27">
                  <c:v>1.75</c:v>
                </c:pt>
                <c:pt idx="28">
                  <c:v>1.74</c:v>
                </c:pt>
                <c:pt idx="29">
                  <c:v>1.7</c:v>
                </c:pt>
                <c:pt idx="30">
                  <c:v>1.73</c:v>
                </c:pt>
                <c:pt idx="31">
                  <c:v>1.72</c:v>
                </c:pt>
                <c:pt idx="32">
                  <c:v>1.74</c:v>
                </c:pt>
                <c:pt idx="33">
                  <c:v>1.75</c:v>
                </c:pt>
                <c:pt idx="34">
                  <c:v>1.76</c:v>
                </c:pt>
                <c:pt idx="35">
                  <c:v>1.73</c:v>
                </c:pt>
                <c:pt idx="36">
                  <c:v>1.73</c:v>
                </c:pt>
                <c:pt idx="37">
                  <c:v>1.74</c:v>
                </c:pt>
                <c:pt idx="38">
                  <c:v>1.74</c:v>
                </c:pt>
                <c:pt idx="39">
                  <c:v>1.75</c:v>
                </c:pt>
                <c:pt idx="40">
                  <c:v>1.75</c:v>
                </c:pt>
                <c:pt idx="41">
                  <c:v>1.74</c:v>
                </c:pt>
                <c:pt idx="42">
                  <c:v>1.86</c:v>
                </c:pt>
                <c:pt idx="43">
                  <c:v>1.89</c:v>
                </c:pt>
                <c:pt idx="44">
                  <c:v>1.82</c:v>
                </c:pt>
                <c:pt idx="45">
                  <c:v>1.82</c:v>
                </c:pt>
                <c:pt idx="46">
                  <c:v>1.96</c:v>
                </c:pt>
                <c:pt idx="47">
                  <c:v>1.92</c:v>
                </c:pt>
                <c:pt idx="48">
                  <c:v>1.88</c:v>
                </c:pt>
                <c:pt idx="49">
                  <c:v>1.89</c:v>
                </c:pt>
                <c:pt idx="50">
                  <c:v>1.81</c:v>
                </c:pt>
                <c:pt idx="51">
                  <c:v>1.8</c:v>
                </c:pt>
                <c:pt idx="52">
                  <c:v>1.83</c:v>
                </c:pt>
                <c:pt idx="53">
                  <c:v>1.76</c:v>
                </c:pt>
                <c:pt idx="54">
                  <c:v>1.83</c:v>
                </c:pt>
                <c:pt idx="55">
                  <c:v>1.84</c:v>
                </c:pt>
                <c:pt idx="56">
                  <c:v>1.78</c:v>
                </c:pt>
                <c:pt idx="57">
                  <c:v>1.77</c:v>
                </c:pt>
                <c:pt idx="58">
                  <c:v>1.79</c:v>
                </c:pt>
                <c:pt idx="59">
                  <c:v>1.79</c:v>
                </c:pt>
                <c:pt idx="60">
                  <c:v>1.78</c:v>
                </c:pt>
                <c:pt idx="61">
                  <c:v>1.79</c:v>
                </c:pt>
                <c:pt idx="62">
                  <c:v>1.8</c:v>
                </c:pt>
                <c:pt idx="63">
                  <c:v>1.78</c:v>
                </c:pt>
                <c:pt idx="64">
                  <c:v>1.77</c:v>
                </c:pt>
                <c:pt idx="65">
                  <c:v>1.78</c:v>
                </c:pt>
                <c:pt idx="66">
                  <c:v>1.78</c:v>
                </c:pt>
                <c:pt idx="67">
                  <c:v>1.78</c:v>
                </c:pt>
                <c:pt idx="68">
                  <c:v>1.77</c:v>
                </c:pt>
                <c:pt idx="69">
                  <c:v>1.79</c:v>
                </c:pt>
                <c:pt idx="70">
                  <c:v>1.79</c:v>
                </c:pt>
                <c:pt idx="71">
                  <c:v>1.78</c:v>
                </c:pt>
                <c:pt idx="72">
                  <c:v>1.78</c:v>
                </c:pt>
                <c:pt idx="73">
                  <c:v>1.78</c:v>
                </c:pt>
                <c:pt idx="74">
                  <c:v>1.78</c:v>
                </c:pt>
                <c:pt idx="75">
                  <c:v>1.78</c:v>
                </c:pt>
                <c:pt idx="76">
                  <c:v>1.75</c:v>
                </c:pt>
                <c:pt idx="77">
                  <c:v>1.74</c:v>
                </c:pt>
                <c:pt idx="78">
                  <c:v>1.75</c:v>
                </c:pt>
                <c:pt idx="79">
                  <c:v>1.74</c:v>
                </c:pt>
                <c:pt idx="80">
                  <c:v>1.77</c:v>
                </c:pt>
                <c:pt idx="81">
                  <c:v>1.77</c:v>
                </c:pt>
                <c:pt idx="82">
                  <c:v>1.75</c:v>
                </c:pt>
                <c:pt idx="83">
                  <c:v>1.71</c:v>
                </c:pt>
                <c:pt idx="84">
                  <c:v>1.7</c:v>
                </c:pt>
                <c:pt idx="85">
                  <c:v>1.69</c:v>
                </c:pt>
                <c:pt idx="86">
                  <c:v>1.73</c:v>
                </c:pt>
                <c:pt idx="87">
                  <c:v>1.7</c:v>
                </c:pt>
                <c:pt idx="88">
                  <c:v>1.69</c:v>
                </c:pt>
                <c:pt idx="89">
                  <c:v>1.68</c:v>
                </c:pt>
                <c:pt idx="90">
                  <c:v>1.68</c:v>
                </c:pt>
                <c:pt idx="91">
                  <c:v>1.74</c:v>
                </c:pt>
                <c:pt idx="92">
                  <c:v>1.66</c:v>
                </c:pt>
                <c:pt idx="93">
                  <c:v>1.65</c:v>
                </c:pt>
                <c:pt idx="94">
                  <c:v>1.68</c:v>
                </c:pt>
                <c:pt idx="95">
                  <c:v>1.66</c:v>
                </c:pt>
                <c:pt idx="96">
                  <c:v>1.7</c:v>
                </c:pt>
                <c:pt idx="97">
                  <c:v>1.62</c:v>
                </c:pt>
                <c:pt idx="98">
                  <c:v>1.61</c:v>
                </c:pt>
                <c:pt idx="99">
                  <c:v>1.63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83-4D7F-9599-79768909EDED}"/>
            </c:ext>
          </c:extLst>
        </c:ser>
        <c:ser>
          <c:idx val="2"/>
          <c:order val="2"/>
          <c:tx>
            <c:strRef>
              <c:f>主頁面!$BF$2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主頁面!$BC$3:$BC$102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主頁面!$BF$3:$BF$102</c:f>
              <c:numCache>
                <c:formatCode>General</c:formatCode>
                <c:ptCount val="100"/>
                <c:pt idx="0">
                  <c:v>1.56</c:v>
                </c:pt>
                <c:pt idx="1">
                  <c:v>1.57</c:v>
                </c:pt>
                <c:pt idx="2">
                  <c:v>1.56</c:v>
                </c:pt>
                <c:pt idx="3">
                  <c:v>1.56</c:v>
                </c:pt>
                <c:pt idx="4">
                  <c:v>1.52</c:v>
                </c:pt>
                <c:pt idx="5">
                  <c:v>1.47</c:v>
                </c:pt>
                <c:pt idx="6">
                  <c:v>1.45</c:v>
                </c:pt>
                <c:pt idx="7">
                  <c:v>1.47</c:v>
                </c:pt>
                <c:pt idx="8">
                  <c:v>1.58</c:v>
                </c:pt>
                <c:pt idx="9">
                  <c:v>1.58</c:v>
                </c:pt>
                <c:pt idx="10">
                  <c:v>1.55</c:v>
                </c:pt>
                <c:pt idx="11">
                  <c:v>1.56</c:v>
                </c:pt>
                <c:pt idx="12">
                  <c:v>1.59</c:v>
                </c:pt>
                <c:pt idx="13">
                  <c:v>1.58</c:v>
                </c:pt>
                <c:pt idx="14">
                  <c:v>1.59</c:v>
                </c:pt>
                <c:pt idx="15">
                  <c:v>1.64</c:v>
                </c:pt>
                <c:pt idx="16">
                  <c:v>1.7</c:v>
                </c:pt>
                <c:pt idx="17">
                  <c:v>1.72</c:v>
                </c:pt>
                <c:pt idx="18">
                  <c:v>1.7</c:v>
                </c:pt>
                <c:pt idx="19">
                  <c:v>1.67</c:v>
                </c:pt>
                <c:pt idx="20">
                  <c:v>1.67</c:v>
                </c:pt>
                <c:pt idx="21">
                  <c:v>1.65</c:v>
                </c:pt>
                <c:pt idx="22">
                  <c:v>1.65</c:v>
                </c:pt>
                <c:pt idx="23">
                  <c:v>1.65</c:v>
                </c:pt>
                <c:pt idx="24">
                  <c:v>1.66</c:v>
                </c:pt>
                <c:pt idx="25">
                  <c:v>1.74</c:v>
                </c:pt>
                <c:pt idx="26">
                  <c:v>1.73</c:v>
                </c:pt>
                <c:pt idx="27">
                  <c:v>1.73</c:v>
                </c:pt>
                <c:pt idx="28">
                  <c:v>1.61</c:v>
                </c:pt>
                <c:pt idx="29">
                  <c:v>1.63</c:v>
                </c:pt>
                <c:pt idx="30">
                  <c:v>1.67</c:v>
                </c:pt>
                <c:pt idx="31">
                  <c:v>1.67</c:v>
                </c:pt>
                <c:pt idx="32">
                  <c:v>1.7</c:v>
                </c:pt>
                <c:pt idx="33">
                  <c:v>1.72</c:v>
                </c:pt>
                <c:pt idx="34">
                  <c:v>1.72</c:v>
                </c:pt>
                <c:pt idx="35">
                  <c:v>1.72</c:v>
                </c:pt>
                <c:pt idx="36">
                  <c:v>1.72</c:v>
                </c:pt>
                <c:pt idx="37">
                  <c:v>1.73</c:v>
                </c:pt>
                <c:pt idx="38">
                  <c:v>1.73</c:v>
                </c:pt>
                <c:pt idx="39">
                  <c:v>1.72</c:v>
                </c:pt>
                <c:pt idx="40">
                  <c:v>1.72</c:v>
                </c:pt>
                <c:pt idx="41">
                  <c:v>1.71</c:v>
                </c:pt>
                <c:pt idx="42">
                  <c:v>1.73</c:v>
                </c:pt>
                <c:pt idx="43">
                  <c:v>1.79</c:v>
                </c:pt>
                <c:pt idx="44">
                  <c:v>1.76</c:v>
                </c:pt>
                <c:pt idx="45">
                  <c:v>1.79</c:v>
                </c:pt>
                <c:pt idx="46">
                  <c:v>1.81</c:v>
                </c:pt>
                <c:pt idx="47">
                  <c:v>1.85</c:v>
                </c:pt>
                <c:pt idx="48">
                  <c:v>1.83</c:v>
                </c:pt>
                <c:pt idx="49">
                  <c:v>1.76</c:v>
                </c:pt>
                <c:pt idx="50">
                  <c:v>1.76</c:v>
                </c:pt>
                <c:pt idx="51">
                  <c:v>1.76</c:v>
                </c:pt>
                <c:pt idx="52">
                  <c:v>1.65</c:v>
                </c:pt>
                <c:pt idx="53">
                  <c:v>1.72</c:v>
                </c:pt>
                <c:pt idx="54">
                  <c:v>1.73</c:v>
                </c:pt>
                <c:pt idx="55">
                  <c:v>1.73</c:v>
                </c:pt>
                <c:pt idx="56">
                  <c:v>1.76</c:v>
                </c:pt>
                <c:pt idx="57">
                  <c:v>1.72</c:v>
                </c:pt>
                <c:pt idx="58">
                  <c:v>1.75</c:v>
                </c:pt>
                <c:pt idx="59">
                  <c:v>1.73</c:v>
                </c:pt>
                <c:pt idx="60">
                  <c:v>1.72</c:v>
                </c:pt>
                <c:pt idx="61">
                  <c:v>1.74</c:v>
                </c:pt>
                <c:pt idx="62">
                  <c:v>1.76</c:v>
                </c:pt>
                <c:pt idx="63">
                  <c:v>1.73</c:v>
                </c:pt>
                <c:pt idx="64">
                  <c:v>1.75</c:v>
                </c:pt>
                <c:pt idx="65">
                  <c:v>1.73</c:v>
                </c:pt>
                <c:pt idx="66">
                  <c:v>1.75</c:v>
                </c:pt>
                <c:pt idx="67">
                  <c:v>1.75</c:v>
                </c:pt>
                <c:pt idx="68">
                  <c:v>1.74</c:v>
                </c:pt>
                <c:pt idx="69">
                  <c:v>1.74</c:v>
                </c:pt>
                <c:pt idx="70">
                  <c:v>1.76</c:v>
                </c:pt>
                <c:pt idx="71">
                  <c:v>1.74</c:v>
                </c:pt>
                <c:pt idx="72">
                  <c:v>1.76</c:v>
                </c:pt>
                <c:pt idx="73">
                  <c:v>1.76</c:v>
                </c:pt>
                <c:pt idx="74">
                  <c:v>1.76</c:v>
                </c:pt>
                <c:pt idx="75">
                  <c:v>1.75</c:v>
                </c:pt>
                <c:pt idx="76">
                  <c:v>1.71</c:v>
                </c:pt>
                <c:pt idx="77">
                  <c:v>1.7</c:v>
                </c:pt>
                <c:pt idx="78">
                  <c:v>1.7</c:v>
                </c:pt>
                <c:pt idx="79">
                  <c:v>1.71</c:v>
                </c:pt>
                <c:pt idx="80">
                  <c:v>1.74</c:v>
                </c:pt>
                <c:pt idx="81">
                  <c:v>1.7</c:v>
                </c:pt>
                <c:pt idx="82">
                  <c:v>1.71</c:v>
                </c:pt>
                <c:pt idx="83">
                  <c:v>1.68</c:v>
                </c:pt>
                <c:pt idx="84">
                  <c:v>1.68</c:v>
                </c:pt>
                <c:pt idx="85">
                  <c:v>1.66</c:v>
                </c:pt>
                <c:pt idx="86">
                  <c:v>1.69</c:v>
                </c:pt>
                <c:pt idx="87">
                  <c:v>1.67</c:v>
                </c:pt>
                <c:pt idx="88">
                  <c:v>1.67</c:v>
                </c:pt>
                <c:pt idx="89">
                  <c:v>1.67</c:v>
                </c:pt>
                <c:pt idx="90">
                  <c:v>1.66</c:v>
                </c:pt>
                <c:pt idx="91">
                  <c:v>1.64</c:v>
                </c:pt>
                <c:pt idx="92">
                  <c:v>1.63</c:v>
                </c:pt>
                <c:pt idx="93">
                  <c:v>1.65</c:v>
                </c:pt>
                <c:pt idx="94">
                  <c:v>1.64</c:v>
                </c:pt>
                <c:pt idx="95">
                  <c:v>1.63</c:v>
                </c:pt>
                <c:pt idx="96">
                  <c:v>1.62</c:v>
                </c:pt>
                <c:pt idx="97">
                  <c:v>1.61</c:v>
                </c:pt>
                <c:pt idx="98">
                  <c:v>1.57</c:v>
                </c:pt>
                <c:pt idx="99">
                  <c:v>1.59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83-4D7F-9599-79768909EDED}"/>
            </c:ext>
          </c:extLst>
        </c:ser>
        <c:ser>
          <c:idx val="3"/>
          <c:order val="3"/>
          <c:tx>
            <c:strRef>
              <c:f>主頁面!$BG$2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主頁面!$BC$3:$BC$102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主頁面!$BG$3:$BG$102</c:f>
              <c:numCache>
                <c:formatCode>General</c:formatCode>
                <c:ptCount val="100"/>
                <c:pt idx="0">
                  <c:v>1.61</c:v>
                </c:pt>
                <c:pt idx="1">
                  <c:v>1.58</c:v>
                </c:pt>
                <c:pt idx="2">
                  <c:v>1.57</c:v>
                </c:pt>
                <c:pt idx="3">
                  <c:v>1.57</c:v>
                </c:pt>
                <c:pt idx="4">
                  <c:v>1.54</c:v>
                </c:pt>
                <c:pt idx="5">
                  <c:v>1.51</c:v>
                </c:pt>
                <c:pt idx="6">
                  <c:v>1.47</c:v>
                </c:pt>
                <c:pt idx="7">
                  <c:v>1.64</c:v>
                </c:pt>
                <c:pt idx="8">
                  <c:v>1.59</c:v>
                </c:pt>
                <c:pt idx="9">
                  <c:v>1.59</c:v>
                </c:pt>
                <c:pt idx="10">
                  <c:v>1.6</c:v>
                </c:pt>
                <c:pt idx="11">
                  <c:v>1.61</c:v>
                </c:pt>
                <c:pt idx="12">
                  <c:v>1.61</c:v>
                </c:pt>
                <c:pt idx="13">
                  <c:v>1.59</c:v>
                </c:pt>
                <c:pt idx="14">
                  <c:v>1.65</c:v>
                </c:pt>
                <c:pt idx="15">
                  <c:v>1.72</c:v>
                </c:pt>
                <c:pt idx="16">
                  <c:v>1.7</c:v>
                </c:pt>
                <c:pt idx="17">
                  <c:v>1.72</c:v>
                </c:pt>
                <c:pt idx="18">
                  <c:v>1.7</c:v>
                </c:pt>
                <c:pt idx="19">
                  <c:v>1.67</c:v>
                </c:pt>
                <c:pt idx="20">
                  <c:v>1.69</c:v>
                </c:pt>
                <c:pt idx="21">
                  <c:v>1.67</c:v>
                </c:pt>
                <c:pt idx="22">
                  <c:v>1.65</c:v>
                </c:pt>
                <c:pt idx="23">
                  <c:v>1.66</c:v>
                </c:pt>
                <c:pt idx="24">
                  <c:v>1.77</c:v>
                </c:pt>
                <c:pt idx="25">
                  <c:v>1.75</c:v>
                </c:pt>
                <c:pt idx="26">
                  <c:v>1.73</c:v>
                </c:pt>
                <c:pt idx="27">
                  <c:v>1.74</c:v>
                </c:pt>
                <c:pt idx="28">
                  <c:v>1.62</c:v>
                </c:pt>
                <c:pt idx="29">
                  <c:v>1.67</c:v>
                </c:pt>
                <c:pt idx="30">
                  <c:v>1.71</c:v>
                </c:pt>
                <c:pt idx="31">
                  <c:v>1.71</c:v>
                </c:pt>
                <c:pt idx="32">
                  <c:v>1.72</c:v>
                </c:pt>
                <c:pt idx="33">
                  <c:v>1.75</c:v>
                </c:pt>
                <c:pt idx="34">
                  <c:v>1.72</c:v>
                </c:pt>
                <c:pt idx="35">
                  <c:v>1.72</c:v>
                </c:pt>
                <c:pt idx="36">
                  <c:v>1.73</c:v>
                </c:pt>
                <c:pt idx="37">
                  <c:v>1.73</c:v>
                </c:pt>
                <c:pt idx="38">
                  <c:v>1.73</c:v>
                </c:pt>
                <c:pt idx="39">
                  <c:v>1.73</c:v>
                </c:pt>
                <c:pt idx="40">
                  <c:v>1.73</c:v>
                </c:pt>
                <c:pt idx="41">
                  <c:v>1.73</c:v>
                </c:pt>
                <c:pt idx="42">
                  <c:v>1.85</c:v>
                </c:pt>
                <c:pt idx="43">
                  <c:v>1.82</c:v>
                </c:pt>
                <c:pt idx="44">
                  <c:v>1.79</c:v>
                </c:pt>
                <c:pt idx="45">
                  <c:v>1.81</c:v>
                </c:pt>
                <c:pt idx="46">
                  <c:v>1.9</c:v>
                </c:pt>
                <c:pt idx="47">
                  <c:v>1.88</c:v>
                </c:pt>
                <c:pt idx="48">
                  <c:v>1.85</c:v>
                </c:pt>
                <c:pt idx="49">
                  <c:v>1.8</c:v>
                </c:pt>
                <c:pt idx="50">
                  <c:v>1.81</c:v>
                </c:pt>
                <c:pt idx="51">
                  <c:v>1.77</c:v>
                </c:pt>
                <c:pt idx="52">
                  <c:v>1.7</c:v>
                </c:pt>
                <c:pt idx="53">
                  <c:v>1.75</c:v>
                </c:pt>
                <c:pt idx="54">
                  <c:v>1.78</c:v>
                </c:pt>
                <c:pt idx="55">
                  <c:v>1.78</c:v>
                </c:pt>
                <c:pt idx="56">
                  <c:v>1.77</c:v>
                </c:pt>
                <c:pt idx="57">
                  <c:v>1.77</c:v>
                </c:pt>
                <c:pt idx="58">
                  <c:v>1.77</c:v>
                </c:pt>
                <c:pt idx="59">
                  <c:v>1.78</c:v>
                </c:pt>
                <c:pt idx="60">
                  <c:v>1.76</c:v>
                </c:pt>
                <c:pt idx="61">
                  <c:v>1.76</c:v>
                </c:pt>
                <c:pt idx="62">
                  <c:v>1.76</c:v>
                </c:pt>
                <c:pt idx="63">
                  <c:v>1.76</c:v>
                </c:pt>
                <c:pt idx="64">
                  <c:v>1.75</c:v>
                </c:pt>
                <c:pt idx="65">
                  <c:v>1.78</c:v>
                </c:pt>
                <c:pt idx="66">
                  <c:v>1.75</c:v>
                </c:pt>
                <c:pt idx="67">
                  <c:v>1.76</c:v>
                </c:pt>
                <c:pt idx="68">
                  <c:v>1.75</c:v>
                </c:pt>
                <c:pt idx="69">
                  <c:v>1.75</c:v>
                </c:pt>
                <c:pt idx="70">
                  <c:v>1.77</c:v>
                </c:pt>
                <c:pt idx="71">
                  <c:v>1.78</c:v>
                </c:pt>
                <c:pt idx="72">
                  <c:v>1.78</c:v>
                </c:pt>
                <c:pt idx="73">
                  <c:v>1.77</c:v>
                </c:pt>
                <c:pt idx="74">
                  <c:v>1.78</c:v>
                </c:pt>
                <c:pt idx="75">
                  <c:v>1.75</c:v>
                </c:pt>
                <c:pt idx="76">
                  <c:v>1.71</c:v>
                </c:pt>
                <c:pt idx="77">
                  <c:v>1.73</c:v>
                </c:pt>
                <c:pt idx="78">
                  <c:v>1.71</c:v>
                </c:pt>
                <c:pt idx="79">
                  <c:v>1.72</c:v>
                </c:pt>
                <c:pt idx="80">
                  <c:v>1.75</c:v>
                </c:pt>
                <c:pt idx="81">
                  <c:v>1.77</c:v>
                </c:pt>
                <c:pt idx="82">
                  <c:v>1.71</c:v>
                </c:pt>
                <c:pt idx="83">
                  <c:v>1.7</c:v>
                </c:pt>
                <c:pt idx="84">
                  <c:v>1.69</c:v>
                </c:pt>
                <c:pt idx="85">
                  <c:v>1.67</c:v>
                </c:pt>
                <c:pt idx="86">
                  <c:v>1.69</c:v>
                </c:pt>
                <c:pt idx="87">
                  <c:v>1.67</c:v>
                </c:pt>
                <c:pt idx="88">
                  <c:v>1.67</c:v>
                </c:pt>
                <c:pt idx="89">
                  <c:v>1.68</c:v>
                </c:pt>
                <c:pt idx="90">
                  <c:v>1.66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1.66</c:v>
                </c:pt>
                <c:pt idx="95">
                  <c:v>1.63</c:v>
                </c:pt>
                <c:pt idx="96">
                  <c:v>1.63</c:v>
                </c:pt>
                <c:pt idx="97">
                  <c:v>1.62</c:v>
                </c:pt>
                <c:pt idx="98">
                  <c:v>1.59</c:v>
                </c:pt>
                <c:pt idx="99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83-4D7F-9599-79768909E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848345520"/>
        <c:axId val="293203064"/>
      </c:stockChart>
      <c:dateAx>
        <c:axId val="848345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203064"/>
        <c:crosses val="autoZero"/>
        <c:auto val="1"/>
        <c:lblOffset val="100"/>
        <c:baseTimeUnit val="days"/>
      </c:dateAx>
      <c:valAx>
        <c:axId val="293203064"/>
        <c:scaling>
          <c:orientation val="minMax"/>
          <c:max val="2"/>
          <c:min val="1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34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主頁面!$BL$1</c:f>
          <c:strCache>
            <c:ptCount val="1"/>
            <c:pt idx="0">
              <c:v>1199 中遠海運港口有限公司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主頁面!$BM$2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主頁面!$BL$3:$BL$101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主頁面!$BM$3:$BM$101</c:f>
              <c:numCache>
                <c:formatCode>General</c:formatCode>
                <c:ptCount val="99"/>
                <c:pt idx="0">
                  <c:v>8.4700000000000006</c:v>
                </c:pt>
                <c:pt idx="1">
                  <c:v>8.43</c:v>
                </c:pt>
                <c:pt idx="2">
                  <c:v>8.27</c:v>
                </c:pt>
                <c:pt idx="3">
                  <c:v>8.32</c:v>
                </c:pt>
                <c:pt idx="4">
                  <c:v>8.49</c:v>
                </c:pt>
                <c:pt idx="5">
                  <c:v>8.32</c:v>
                </c:pt>
                <c:pt idx="6">
                  <c:v>8.3000000000000007</c:v>
                </c:pt>
                <c:pt idx="7">
                  <c:v>8.33</c:v>
                </c:pt>
                <c:pt idx="8">
                  <c:v>8.4600000000000009</c:v>
                </c:pt>
                <c:pt idx="9">
                  <c:v>8.5500000000000007</c:v>
                </c:pt>
                <c:pt idx="10">
                  <c:v>8.6199999999999992</c:v>
                </c:pt>
                <c:pt idx="11">
                  <c:v>8.59</c:v>
                </c:pt>
                <c:pt idx="12">
                  <c:v>8.48</c:v>
                </c:pt>
                <c:pt idx="13">
                  <c:v>8.52</c:v>
                </c:pt>
                <c:pt idx="14">
                  <c:v>8.6300000000000008</c:v>
                </c:pt>
                <c:pt idx="15">
                  <c:v>8.6199999999999992</c:v>
                </c:pt>
                <c:pt idx="16">
                  <c:v>8.43</c:v>
                </c:pt>
                <c:pt idx="17">
                  <c:v>8.5299999999999994</c:v>
                </c:pt>
                <c:pt idx="18">
                  <c:v>8.76</c:v>
                </c:pt>
                <c:pt idx="19">
                  <c:v>8.66</c:v>
                </c:pt>
                <c:pt idx="20">
                  <c:v>8.74</c:v>
                </c:pt>
                <c:pt idx="21">
                  <c:v>8.75</c:v>
                </c:pt>
                <c:pt idx="22">
                  <c:v>8.74</c:v>
                </c:pt>
                <c:pt idx="23">
                  <c:v>8.74</c:v>
                </c:pt>
                <c:pt idx="24">
                  <c:v>8.6999999999999993</c:v>
                </c:pt>
                <c:pt idx="25">
                  <c:v>8.76</c:v>
                </c:pt>
                <c:pt idx="26">
                  <c:v>8.59</c:v>
                </c:pt>
                <c:pt idx="27">
                  <c:v>8.66</c:v>
                </c:pt>
                <c:pt idx="28">
                  <c:v>8.92</c:v>
                </c:pt>
                <c:pt idx="29">
                  <c:v>8.9499999999999993</c:v>
                </c:pt>
                <c:pt idx="30">
                  <c:v>8.99</c:v>
                </c:pt>
                <c:pt idx="31">
                  <c:v>9</c:v>
                </c:pt>
                <c:pt idx="32">
                  <c:v>9.0399999999999991</c:v>
                </c:pt>
                <c:pt idx="33">
                  <c:v>9.14</c:v>
                </c:pt>
                <c:pt idx="34">
                  <c:v>9.07</c:v>
                </c:pt>
                <c:pt idx="35">
                  <c:v>8.85</c:v>
                </c:pt>
                <c:pt idx="36">
                  <c:v>8.9499999999999993</c:v>
                </c:pt>
                <c:pt idx="37">
                  <c:v>8.92</c:v>
                </c:pt>
                <c:pt idx="38">
                  <c:v>8.86</c:v>
                </c:pt>
                <c:pt idx="39">
                  <c:v>9.17</c:v>
                </c:pt>
                <c:pt idx="40">
                  <c:v>9.08</c:v>
                </c:pt>
                <c:pt idx="41">
                  <c:v>8.8699999999999992</c:v>
                </c:pt>
                <c:pt idx="42">
                  <c:v>8.86</c:v>
                </c:pt>
                <c:pt idx="43">
                  <c:v>8.86</c:v>
                </c:pt>
                <c:pt idx="44">
                  <c:v>8.83</c:v>
                </c:pt>
                <c:pt idx="45">
                  <c:v>8.99</c:v>
                </c:pt>
                <c:pt idx="46">
                  <c:v>9.02</c:v>
                </c:pt>
                <c:pt idx="47">
                  <c:v>9.0500000000000007</c:v>
                </c:pt>
                <c:pt idx="48">
                  <c:v>8.98</c:v>
                </c:pt>
                <c:pt idx="49">
                  <c:v>9</c:v>
                </c:pt>
                <c:pt idx="50">
                  <c:v>9.11</c:v>
                </c:pt>
                <c:pt idx="51">
                  <c:v>8.9700000000000006</c:v>
                </c:pt>
                <c:pt idx="52">
                  <c:v>9.07</c:v>
                </c:pt>
                <c:pt idx="53">
                  <c:v>8.9600000000000009</c:v>
                </c:pt>
                <c:pt idx="54">
                  <c:v>8.9499999999999993</c:v>
                </c:pt>
                <c:pt idx="55">
                  <c:v>9.1300000000000008</c:v>
                </c:pt>
                <c:pt idx="56">
                  <c:v>9.0500000000000007</c:v>
                </c:pt>
                <c:pt idx="57">
                  <c:v>8.93</c:v>
                </c:pt>
                <c:pt idx="58">
                  <c:v>8.85</c:v>
                </c:pt>
                <c:pt idx="59">
                  <c:v>8.8800000000000008</c:v>
                </c:pt>
                <c:pt idx="60">
                  <c:v>8.93</c:v>
                </c:pt>
                <c:pt idx="61">
                  <c:v>9.0399999999999991</c:v>
                </c:pt>
                <c:pt idx="62">
                  <c:v>8.98</c:v>
                </c:pt>
                <c:pt idx="63">
                  <c:v>8.93</c:v>
                </c:pt>
                <c:pt idx="64">
                  <c:v>9.24</c:v>
                </c:pt>
                <c:pt idx="65">
                  <c:v>9.3800000000000008</c:v>
                </c:pt>
                <c:pt idx="66">
                  <c:v>9.91</c:v>
                </c:pt>
                <c:pt idx="67">
                  <c:v>9.68</c:v>
                </c:pt>
                <c:pt idx="68">
                  <c:v>9.7100000000000009</c:v>
                </c:pt>
                <c:pt idx="69">
                  <c:v>9.51</c:v>
                </c:pt>
                <c:pt idx="70">
                  <c:v>9.73</c:v>
                </c:pt>
                <c:pt idx="71">
                  <c:v>9.73</c:v>
                </c:pt>
                <c:pt idx="72">
                  <c:v>9.85</c:v>
                </c:pt>
                <c:pt idx="73">
                  <c:v>9.58</c:v>
                </c:pt>
                <c:pt idx="74">
                  <c:v>9.6</c:v>
                </c:pt>
                <c:pt idx="75">
                  <c:v>9.51</c:v>
                </c:pt>
                <c:pt idx="76">
                  <c:v>9.5299999999999994</c:v>
                </c:pt>
                <c:pt idx="77">
                  <c:v>9.5500000000000007</c:v>
                </c:pt>
                <c:pt idx="78">
                  <c:v>9.56</c:v>
                </c:pt>
                <c:pt idx="79">
                  <c:v>9.58</c:v>
                </c:pt>
                <c:pt idx="80">
                  <c:v>9.6</c:v>
                </c:pt>
                <c:pt idx="81">
                  <c:v>9.6</c:v>
                </c:pt>
                <c:pt idx="82">
                  <c:v>9.4</c:v>
                </c:pt>
                <c:pt idx="83">
                  <c:v>9.4</c:v>
                </c:pt>
                <c:pt idx="84">
                  <c:v>9.2799999999999994</c:v>
                </c:pt>
                <c:pt idx="85">
                  <c:v>9.2100000000000009</c:v>
                </c:pt>
                <c:pt idx="86">
                  <c:v>9.15</c:v>
                </c:pt>
                <c:pt idx="87">
                  <c:v>8.93</c:v>
                </c:pt>
                <c:pt idx="88">
                  <c:v>9.1</c:v>
                </c:pt>
                <c:pt idx="89">
                  <c:v>9.1</c:v>
                </c:pt>
                <c:pt idx="90">
                  <c:v>9.1</c:v>
                </c:pt>
                <c:pt idx="91">
                  <c:v>9.35</c:v>
                </c:pt>
                <c:pt idx="92">
                  <c:v>9.2100000000000009</c:v>
                </c:pt>
                <c:pt idx="93">
                  <c:v>9.32</c:v>
                </c:pt>
                <c:pt idx="94">
                  <c:v>9.2799999999999994</c:v>
                </c:pt>
                <c:pt idx="95">
                  <c:v>9.25</c:v>
                </c:pt>
                <c:pt idx="96">
                  <c:v>9.23</c:v>
                </c:pt>
                <c:pt idx="97">
                  <c:v>9.1</c:v>
                </c:pt>
                <c:pt idx="98">
                  <c:v>8.59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0E-463C-B188-3FA9EE7F42FD}"/>
            </c:ext>
          </c:extLst>
        </c:ser>
        <c:ser>
          <c:idx val="1"/>
          <c:order val="1"/>
          <c:tx>
            <c:strRef>
              <c:f>主頁面!$BN$2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主頁面!$BL$3:$BL$101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主頁面!$BN$3:$BN$101</c:f>
              <c:numCache>
                <c:formatCode>General</c:formatCode>
                <c:ptCount val="99"/>
                <c:pt idx="0">
                  <c:v>8.4700000000000006</c:v>
                </c:pt>
                <c:pt idx="1">
                  <c:v>8.44</c:v>
                </c:pt>
                <c:pt idx="2">
                  <c:v>8.52</c:v>
                </c:pt>
                <c:pt idx="3">
                  <c:v>8.49</c:v>
                </c:pt>
                <c:pt idx="4">
                  <c:v>8.49</c:v>
                </c:pt>
                <c:pt idx="5">
                  <c:v>8.42</c:v>
                </c:pt>
                <c:pt idx="6">
                  <c:v>8.39</c:v>
                </c:pt>
                <c:pt idx="7">
                  <c:v>8.4499999999999993</c:v>
                </c:pt>
                <c:pt idx="8">
                  <c:v>8.52</c:v>
                </c:pt>
                <c:pt idx="9">
                  <c:v>8.64</c:v>
                </c:pt>
                <c:pt idx="10">
                  <c:v>8.6199999999999992</c:v>
                </c:pt>
                <c:pt idx="11">
                  <c:v>8.59</c:v>
                </c:pt>
                <c:pt idx="12">
                  <c:v>8.5500000000000007</c:v>
                </c:pt>
                <c:pt idx="13">
                  <c:v>8.67</c:v>
                </c:pt>
                <c:pt idx="14">
                  <c:v>8.66</c:v>
                </c:pt>
                <c:pt idx="15">
                  <c:v>8.6199999999999992</c:v>
                </c:pt>
                <c:pt idx="16">
                  <c:v>8.57</c:v>
                </c:pt>
                <c:pt idx="17">
                  <c:v>8.73</c:v>
                </c:pt>
                <c:pt idx="18">
                  <c:v>8.7799999999999994</c:v>
                </c:pt>
                <c:pt idx="19">
                  <c:v>8.7799999999999994</c:v>
                </c:pt>
                <c:pt idx="20">
                  <c:v>8.74</c:v>
                </c:pt>
                <c:pt idx="21">
                  <c:v>8.7799999999999994</c:v>
                </c:pt>
                <c:pt idx="22">
                  <c:v>8.8000000000000007</c:v>
                </c:pt>
                <c:pt idx="23">
                  <c:v>8.7899999999999991</c:v>
                </c:pt>
                <c:pt idx="24">
                  <c:v>8.75</c:v>
                </c:pt>
                <c:pt idx="25">
                  <c:v>8.76</c:v>
                </c:pt>
                <c:pt idx="26">
                  <c:v>8.7200000000000006</c:v>
                </c:pt>
                <c:pt idx="27">
                  <c:v>8.9</c:v>
                </c:pt>
                <c:pt idx="28">
                  <c:v>8.9600000000000009</c:v>
                </c:pt>
                <c:pt idx="29">
                  <c:v>8.99</c:v>
                </c:pt>
                <c:pt idx="30">
                  <c:v>9.1</c:v>
                </c:pt>
                <c:pt idx="31">
                  <c:v>9.18</c:v>
                </c:pt>
                <c:pt idx="32">
                  <c:v>9.1199999999999992</c:v>
                </c:pt>
                <c:pt idx="33">
                  <c:v>9.14</c:v>
                </c:pt>
                <c:pt idx="34">
                  <c:v>9.07</c:v>
                </c:pt>
                <c:pt idx="35">
                  <c:v>9.0399999999999991</c:v>
                </c:pt>
                <c:pt idx="36">
                  <c:v>9.0299999999999994</c:v>
                </c:pt>
                <c:pt idx="37">
                  <c:v>9</c:v>
                </c:pt>
                <c:pt idx="38">
                  <c:v>9.15</c:v>
                </c:pt>
                <c:pt idx="39">
                  <c:v>9.17</c:v>
                </c:pt>
                <c:pt idx="40">
                  <c:v>9.08</c:v>
                </c:pt>
                <c:pt idx="41">
                  <c:v>9</c:v>
                </c:pt>
                <c:pt idx="42">
                  <c:v>8.9499999999999993</c:v>
                </c:pt>
                <c:pt idx="43">
                  <c:v>9.0299999999999994</c:v>
                </c:pt>
                <c:pt idx="44">
                  <c:v>9.0299999999999994</c:v>
                </c:pt>
                <c:pt idx="45">
                  <c:v>9.1</c:v>
                </c:pt>
                <c:pt idx="46">
                  <c:v>9.1</c:v>
                </c:pt>
                <c:pt idx="47">
                  <c:v>9.06</c:v>
                </c:pt>
                <c:pt idx="48">
                  <c:v>9.27</c:v>
                </c:pt>
                <c:pt idx="49">
                  <c:v>9.1199999999999992</c:v>
                </c:pt>
                <c:pt idx="50">
                  <c:v>9.1199999999999992</c:v>
                </c:pt>
                <c:pt idx="51">
                  <c:v>9.06</c:v>
                </c:pt>
                <c:pt idx="52">
                  <c:v>9.08</c:v>
                </c:pt>
                <c:pt idx="53">
                  <c:v>9.06</c:v>
                </c:pt>
                <c:pt idx="54">
                  <c:v>9.16</c:v>
                </c:pt>
                <c:pt idx="55">
                  <c:v>9.16</c:v>
                </c:pt>
                <c:pt idx="56">
                  <c:v>9.11</c:v>
                </c:pt>
                <c:pt idx="57">
                  <c:v>8.93</c:v>
                </c:pt>
                <c:pt idx="58">
                  <c:v>8.89</c:v>
                </c:pt>
                <c:pt idx="59">
                  <c:v>8.94</c:v>
                </c:pt>
                <c:pt idx="60">
                  <c:v>9.2100000000000009</c:v>
                </c:pt>
                <c:pt idx="61">
                  <c:v>9.08</c:v>
                </c:pt>
                <c:pt idx="62">
                  <c:v>9.15</c:v>
                </c:pt>
                <c:pt idx="63">
                  <c:v>9.14</c:v>
                </c:pt>
                <c:pt idx="64">
                  <c:v>9.49</c:v>
                </c:pt>
                <c:pt idx="65">
                  <c:v>9.9499999999999993</c:v>
                </c:pt>
                <c:pt idx="66">
                  <c:v>9.92</c:v>
                </c:pt>
                <c:pt idx="67">
                  <c:v>9.8000000000000007</c:v>
                </c:pt>
                <c:pt idx="68">
                  <c:v>9.9</c:v>
                </c:pt>
                <c:pt idx="69">
                  <c:v>9.73</c:v>
                </c:pt>
                <c:pt idx="70">
                  <c:v>9.8000000000000007</c:v>
                </c:pt>
                <c:pt idx="71">
                  <c:v>9.75</c:v>
                </c:pt>
                <c:pt idx="72">
                  <c:v>9.85</c:v>
                </c:pt>
                <c:pt idx="73">
                  <c:v>9.68</c:v>
                </c:pt>
                <c:pt idx="74">
                  <c:v>9.6300000000000008</c:v>
                </c:pt>
                <c:pt idx="75">
                  <c:v>9.6</c:v>
                </c:pt>
                <c:pt idx="76">
                  <c:v>9.61</c:v>
                </c:pt>
                <c:pt idx="77">
                  <c:v>9.56</c:v>
                </c:pt>
                <c:pt idx="78">
                  <c:v>9.6199999999999992</c:v>
                </c:pt>
                <c:pt idx="79">
                  <c:v>9.67</c:v>
                </c:pt>
                <c:pt idx="80">
                  <c:v>9.73</c:v>
                </c:pt>
                <c:pt idx="81">
                  <c:v>9.65</c:v>
                </c:pt>
                <c:pt idx="82">
                  <c:v>9.5299999999999994</c:v>
                </c:pt>
                <c:pt idx="83">
                  <c:v>9.4600000000000009</c:v>
                </c:pt>
                <c:pt idx="84">
                  <c:v>9.34</c:v>
                </c:pt>
                <c:pt idx="85">
                  <c:v>9.33</c:v>
                </c:pt>
                <c:pt idx="86">
                  <c:v>9.15</c:v>
                </c:pt>
                <c:pt idx="87">
                  <c:v>9.1199999999999992</c:v>
                </c:pt>
                <c:pt idx="88">
                  <c:v>9.33</c:v>
                </c:pt>
                <c:pt idx="89">
                  <c:v>9.19</c:v>
                </c:pt>
                <c:pt idx="90">
                  <c:v>9.3000000000000007</c:v>
                </c:pt>
                <c:pt idx="91">
                  <c:v>9.35</c:v>
                </c:pt>
                <c:pt idx="92">
                  <c:v>9.2100000000000009</c:v>
                </c:pt>
                <c:pt idx="93">
                  <c:v>9.34</c:v>
                </c:pt>
                <c:pt idx="94">
                  <c:v>9.33</c:v>
                </c:pt>
                <c:pt idx="95">
                  <c:v>9.2799999999999994</c:v>
                </c:pt>
                <c:pt idx="96">
                  <c:v>9.34</c:v>
                </c:pt>
                <c:pt idx="97">
                  <c:v>9.34</c:v>
                </c:pt>
                <c:pt idx="98">
                  <c:v>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0E-463C-B188-3FA9EE7F42FD}"/>
            </c:ext>
          </c:extLst>
        </c:ser>
        <c:ser>
          <c:idx val="2"/>
          <c:order val="2"/>
          <c:tx>
            <c:strRef>
              <c:f>主頁面!$BO$2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主頁面!$BL$3:$BL$101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主頁面!$BO$3:$BO$101</c:f>
              <c:numCache>
                <c:formatCode>General</c:formatCode>
                <c:ptCount val="99"/>
                <c:pt idx="0">
                  <c:v>8.36</c:v>
                </c:pt>
                <c:pt idx="1">
                  <c:v>8.2799999999999994</c:v>
                </c:pt>
                <c:pt idx="2">
                  <c:v>8.27</c:v>
                </c:pt>
                <c:pt idx="3">
                  <c:v>8.32</c:v>
                </c:pt>
                <c:pt idx="4">
                  <c:v>8.3000000000000007</c:v>
                </c:pt>
                <c:pt idx="5">
                  <c:v>8.27</c:v>
                </c:pt>
                <c:pt idx="6">
                  <c:v>8.2799999999999994</c:v>
                </c:pt>
                <c:pt idx="7">
                  <c:v>8.33</c:v>
                </c:pt>
                <c:pt idx="8">
                  <c:v>8.35</c:v>
                </c:pt>
                <c:pt idx="9">
                  <c:v>8.5299999999999994</c:v>
                </c:pt>
                <c:pt idx="10">
                  <c:v>8.4499999999999993</c:v>
                </c:pt>
                <c:pt idx="11">
                  <c:v>8.42</c:v>
                </c:pt>
                <c:pt idx="12">
                  <c:v>8.39</c:v>
                </c:pt>
                <c:pt idx="13">
                  <c:v>8.52</c:v>
                </c:pt>
                <c:pt idx="14">
                  <c:v>8.56</c:v>
                </c:pt>
                <c:pt idx="15">
                  <c:v>8.39</c:v>
                </c:pt>
                <c:pt idx="16">
                  <c:v>8.43</c:v>
                </c:pt>
                <c:pt idx="17">
                  <c:v>8.5</c:v>
                </c:pt>
                <c:pt idx="18">
                  <c:v>8.58</c:v>
                </c:pt>
                <c:pt idx="19">
                  <c:v>8.61</c:v>
                </c:pt>
                <c:pt idx="20">
                  <c:v>8.64</c:v>
                </c:pt>
                <c:pt idx="21">
                  <c:v>8.7200000000000006</c:v>
                </c:pt>
                <c:pt idx="22">
                  <c:v>8.67</c:v>
                </c:pt>
                <c:pt idx="23">
                  <c:v>8.6199999999999992</c:v>
                </c:pt>
                <c:pt idx="24">
                  <c:v>8.65</c:v>
                </c:pt>
                <c:pt idx="25">
                  <c:v>8.64</c:v>
                </c:pt>
                <c:pt idx="26">
                  <c:v>8.4700000000000006</c:v>
                </c:pt>
                <c:pt idx="27">
                  <c:v>8.66</c:v>
                </c:pt>
                <c:pt idx="28">
                  <c:v>8.89</c:v>
                </c:pt>
                <c:pt idx="29">
                  <c:v>8.9499999999999993</c:v>
                </c:pt>
                <c:pt idx="30">
                  <c:v>8.9600000000000009</c:v>
                </c:pt>
                <c:pt idx="31">
                  <c:v>9</c:v>
                </c:pt>
                <c:pt idx="32">
                  <c:v>8.8699999999999992</c:v>
                </c:pt>
                <c:pt idx="33">
                  <c:v>8.8699999999999992</c:v>
                </c:pt>
                <c:pt idx="34">
                  <c:v>8.91</c:v>
                </c:pt>
                <c:pt idx="35">
                  <c:v>8.85</c:v>
                </c:pt>
                <c:pt idx="36">
                  <c:v>8.85</c:v>
                </c:pt>
                <c:pt idx="37">
                  <c:v>8.76</c:v>
                </c:pt>
                <c:pt idx="38">
                  <c:v>8.84</c:v>
                </c:pt>
                <c:pt idx="39">
                  <c:v>8.8800000000000008</c:v>
                </c:pt>
                <c:pt idx="40">
                  <c:v>8.7799999999999994</c:v>
                </c:pt>
                <c:pt idx="41">
                  <c:v>8.7799999999999994</c:v>
                </c:pt>
                <c:pt idx="42">
                  <c:v>8.77</c:v>
                </c:pt>
                <c:pt idx="43">
                  <c:v>8.84</c:v>
                </c:pt>
                <c:pt idx="44">
                  <c:v>8.77</c:v>
                </c:pt>
                <c:pt idx="45">
                  <c:v>8.81</c:v>
                </c:pt>
                <c:pt idx="46">
                  <c:v>8.9600000000000009</c:v>
                </c:pt>
                <c:pt idx="47">
                  <c:v>8.93</c:v>
                </c:pt>
                <c:pt idx="48">
                  <c:v>8.98</c:v>
                </c:pt>
                <c:pt idx="49">
                  <c:v>9</c:v>
                </c:pt>
                <c:pt idx="50">
                  <c:v>8.94</c:v>
                </c:pt>
                <c:pt idx="51">
                  <c:v>8.85</c:v>
                </c:pt>
                <c:pt idx="52">
                  <c:v>8.9600000000000009</c:v>
                </c:pt>
                <c:pt idx="53">
                  <c:v>8.91</c:v>
                </c:pt>
                <c:pt idx="54">
                  <c:v>8.91</c:v>
                </c:pt>
                <c:pt idx="55">
                  <c:v>9.11</c:v>
                </c:pt>
                <c:pt idx="56">
                  <c:v>8.91</c:v>
                </c:pt>
                <c:pt idx="57">
                  <c:v>8.81</c:v>
                </c:pt>
                <c:pt idx="58">
                  <c:v>8.8000000000000007</c:v>
                </c:pt>
                <c:pt idx="59">
                  <c:v>8.84</c:v>
                </c:pt>
                <c:pt idx="60">
                  <c:v>8.8699999999999992</c:v>
                </c:pt>
                <c:pt idx="61">
                  <c:v>8.9700000000000006</c:v>
                </c:pt>
                <c:pt idx="62">
                  <c:v>8.84</c:v>
                </c:pt>
                <c:pt idx="63">
                  <c:v>8.93</c:v>
                </c:pt>
                <c:pt idx="64">
                  <c:v>9.1</c:v>
                </c:pt>
                <c:pt idx="65">
                  <c:v>9.3800000000000008</c:v>
                </c:pt>
                <c:pt idx="66">
                  <c:v>9.67</c:v>
                </c:pt>
                <c:pt idx="67">
                  <c:v>9.65</c:v>
                </c:pt>
                <c:pt idx="68">
                  <c:v>9.5299999999999994</c:v>
                </c:pt>
                <c:pt idx="69">
                  <c:v>9.35</c:v>
                </c:pt>
                <c:pt idx="70">
                  <c:v>9.6199999999999992</c:v>
                </c:pt>
                <c:pt idx="71">
                  <c:v>9.51</c:v>
                </c:pt>
                <c:pt idx="72">
                  <c:v>9.58</c:v>
                </c:pt>
                <c:pt idx="73">
                  <c:v>9.4700000000000006</c:v>
                </c:pt>
                <c:pt idx="74">
                  <c:v>9.4499999999999993</c:v>
                </c:pt>
                <c:pt idx="75">
                  <c:v>9.5</c:v>
                </c:pt>
                <c:pt idx="76">
                  <c:v>9.4700000000000006</c:v>
                </c:pt>
                <c:pt idx="77">
                  <c:v>9.4499999999999993</c:v>
                </c:pt>
                <c:pt idx="78">
                  <c:v>9.48</c:v>
                </c:pt>
                <c:pt idx="79">
                  <c:v>9.5</c:v>
                </c:pt>
                <c:pt idx="80">
                  <c:v>9.5500000000000007</c:v>
                </c:pt>
                <c:pt idx="81">
                  <c:v>9.41</c:v>
                </c:pt>
                <c:pt idx="82">
                  <c:v>9.1</c:v>
                </c:pt>
                <c:pt idx="83">
                  <c:v>9.1300000000000008</c:v>
                </c:pt>
                <c:pt idx="84">
                  <c:v>9.19</c:v>
                </c:pt>
                <c:pt idx="85">
                  <c:v>9.14</c:v>
                </c:pt>
                <c:pt idx="86">
                  <c:v>8.9700000000000006</c:v>
                </c:pt>
                <c:pt idx="87">
                  <c:v>8.93</c:v>
                </c:pt>
                <c:pt idx="88">
                  <c:v>9.1</c:v>
                </c:pt>
                <c:pt idx="89">
                  <c:v>9.0500000000000007</c:v>
                </c:pt>
                <c:pt idx="90">
                  <c:v>9.08</c:v>
                </c:pt>
                <c:pt idx="91">
                  <c:v>9.09</c:v>
                </c:pt>
                <c:pt idx="92">
                  <c:v>9.2100000000000009</c:v>
                </c:pt>
                <c:pt idx="93">
                  <c:v>9.18</c:v>
                </c:pt>
                <c:pt idx="94">
                  <c:v>9.17</c:v>
                </c:pt>
                <c:pt idx="95">
                  <c:v>9.2100000000000009</c:v>
                </c:pt>
                <c:pt idx="96">
                  <c:v>9.08</c:v>
                </c:pt>
                <c:pt idx="97">
                  <c:v>8.59</c:v>
                </c:pt>
                <c:pt idx="98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0E-463C-B188-3FA9EE7F42FD}"/>
            </c:ext>
          </c:extLst>
        </c:ser>
        <c:ser>
          <c:idx val="3"/>
          <c:order val="3"/>
          <c:tx>
            <c:strRef>
              <c:f>主頁面!$BP$2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主頁面!$BL$3:$BL$101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主頁面!$BP$3:$BP$101</c:f>
              <c:numCache>
                <c:formatCode>General</c:formatCode>
                <c:ptCount val="99"/>
                <c:pt idx="0">
                  <c:v>8.39</c:v>
                </c:pt>
                <c:pt idx="1">
                  <c:v>8.32</c:v>
                </c:pt>
                <c:pt idx="2">
                  <c:v>8.4</c:v>
                </c:pt>
                <c:pt idx="3">
                  <c:v>8.49</c:v>
                </c:pt>
                <c:pt idx="4">
                  <c:v>8.34</c:v>
                </c:pt>
                <c:pt idx="5">
                  <c:v>8.33</c:v>
                </c:pt>
                <c:pt idx="6">
                  <c:v>8.33</c:v>
                </c:pt>
                <c:pt idx="7">
                  <c:v>8.41</c:v>
                </c:pt>
                <c:pt idx="8">
                  <c:v>8.52</c:v>
                </c:pt>
                <c:pt idx="9">
                  <c:v>8.64</c:v>
                </c:pt>
                <c:pt idx="10">
                  <c:v>8.52</c:v>
                </c:pt>
                <c:pt idx="11">
                  <c:v>8.49</c:v>
                </c:pt>
                <c:pt idx="12">
                  <c:v>8.52</c:v>
                </c:pt>
                <c:pt idx="13">
                  <c:v>8.6300000000000008</c:v>
                </c:pt>
                <c:pt idx="14">
                  <c:v>8.64</c:v>
                </c:pt>
                <c:pt idx="15">
                  <c:v>8.43</c:v>
                </c:pt>
                <c:pt idx="16">
                  <c:v>8.51</c:v>
                </c:pt>
                <c:pt idx="17">
                  <c:v>8.73</c:v>
                </c:pt>
                <c:pt idx="18">
                  <c:v>8.66</c:v>
                </c:pt>
                <c:pt idx="19">
                  <c:v>8.7799999999999994</c:v>
                </c:pt>
                <c:pt idx="20">
                  <c:v>8.68</c:v>
                </c:pt>
                <c:pt idx="21">
                  <c:v>8.74</c:v>
                </c:pt>
                <c:pt idx="22">
                  <c:v>8.74</c:v>
                </c:pt>
                <c:pt idx="23">
                  <c:v>8.7899999999999991</c:v>
                </c:pt>
                <c:pt idx="24">
                  <c:v>8.6999999999999993</c:v>
                </c:pt>
                <c:pt idx="25">
                  <c:v>8.69</c:v>
                </c:pt>
                <c:pt idx="26">
                  <c:v>8.6999999999999993</c:v>
                </c:pt>
                <c:pt idx="27">
                  <c:v>8.9</c:v>
                </c:pt>
                <c:pt idx="28">
                  <c:v>8.91</c:v>
                </c:pt>
                <c:pt idx="29">
                  <c:v>8.98</c:v>
                </c:pt>
                <c:pt idx="30">
                  <c:v>8.9600000000000009</c:v>
                </c:pt>
                <c:pt idx="31">
                  <c:v>9.0399999999999991</c:v>
                </c:pt>
                <c:pt idx="32">
                  <c:v>9.1</c:v>
                </c:pt>
                <c:pt idx="33">
                  <c:v>9.01</c:v>
                </c:pt>
                <c:pt idx="34">
                  <c:v>8.93</c:v>
                </c:pt>
                <c:pt idx="35">
                  <c:v>8.9499999999999993</c:v>
                </c:pt>
                <c:pt idx="36">
                  <c:v>8.89</c:v>
                </c:pt>
                <c:pt idx="37">
                  <c:v>8.9</c:v>
                </c:pt>
                <c:pt idx="38">
                  <c:v>9.15</c:v>
                </c:pt>
                <c:pt idx="39">
                  <c:v>8.9600000000000009</c:v>
                </c:pt>
                <c:pt idx="40">
                  <c:v>8.85</c:v>
                </c:pt>
                <c:pt idx="41">
                  <c:v>8.84</c:v>
                </c:pt>
                <c:pt idx="42">
                  <c:v>8.84</c:v>
                </c:pt>
                <c:pt idx="43">
                  <c:v>8.84</c:v>
                </c:pt>
                <c:pt idx="44">
                  <c:v>9.0299999999999994</c:v>
                </c:pt>
                <c:pt idx="45">
                  <c:v>9.07</c:v>
                </c:pt>
                <c:pt idx="46">
                  <c:v>9.0500000000000007</c:v>
                </c:pt>
                <c:pt idx="47">
                  <c:v>8.98</c:v>
                </c:pt>
                <c:pt idx="48">
                  <c:v>9.14</c:v>
                </c:pt>
                <c:pt idx="49">
                  <c:v>9.11</c:v>
                </c:pt>
                <c:pt idx="50">
                  <c:v>8.9700000000000006</c:v>
                </c:pt>
                <c:pt idx="51">
                  <c:v>9.06</c:v>
                </c:pt>
                <c:pt idx="52">
                  <c:v>8.9600000000000009</c:v>
                </c:pt>
                <c:pt idx="53">
                  <c:v>8.9700000000000006</c:v>
                </c:pt>
                <c:pt idx="54">
                  <c:v>9.16</c:v>
                </c:pt>
                <c:pt idx="55">
                  <c:v>9.15</c:v>
                </c:pt>
                <c:pt idx="56">
                  <c:v>8.94</c:v>
                </c:pt>
                <c:pt idx="57">
                  <c:v>8.89</c:v>
                </c:pt>
                <c:pt idx="58">
                  <c:v>8.86</c:v>
                </c:pt>
                <c:pt idx="59">
                  <c:v>8.85</c:v>
                </c:pt>
                <c:pt idx="60">
                  <c:v>9.1</c:v>
                </c:pt>
                <c:pt idx="61">
                  <c:v>9.0500000000000007</c:v>
                </c:pt>
                <c:pt idx="62">
                  <c:v>8.9499999999999993</c:v>
                </c:pt>
                <c:pt idx="63">
                  <c:v>9.14</c:v>
                </c:pt>
                <c:pt idx="64">
                  <c:v>9.25</c:v>
                </c:pt>
                <c:pt idx="65">
                  <c:v>9.82</c:v>
                </c:pt>
                <c:pt idx="66">
                  <c:v>9.73</c:v>
                </c:pt>
                <c:pt idx="67">
                  <c:v>9.66</c:v>
                </c:pt>
                <c:pt idx="68">
                  <c:v>9.5299999999999994</c:v>
                </c:pt>
                <c:pt idx="69">
                  <c:v>9.61</c:v>
                </c:pt>
                <c:pt idx="70">
                  <c:v>9.7200000000000006</c:v>
                </c:pt>
                <c:pt idx="71">
                  <c:v>9.6</c:v>
                </c:pt>
                <c:pt idx="72">
                  <c:v>9.58</c:v>
                </c:pt>
                <c:pt idx="73">
                  <c:v>9.6</c:v>
                </c:pt>
                <c:pt idx="74">
                  <c:v>9.51</c:v>
                </c:pt>
                <c:pt idx="75">
                  <c:v>9.56</c:v>
                </c:pt>
                <c:pt idx="76">
                  <c:v>9.5</c:v>
                </c:pt>
                <c:pt idx="77">
                  <c:v>9.48</c:v>
                </c:pt>
                <c:pt idx="78">
                  <c:v>9.5299999999999994</c:v>
                </c:pt>
                <c:pt idx="79">
                  <c:v>9.57</c:v>
                </c:pt>
                <c:pt idx="80">
                  <c:v>9.64</c:v>
                </c:pt>
                <c:pt idx="81">
                  <c:v>9.5399999999999991</c:v>
                </c:pt>
                <c:pt idx="82">
                  <c:v>9.4499999999999993</c:v>
                </c:pt>
                <c:pt idx="83">
                  <c:v>9.4</c:v>
                </c:pt>
                <c:pt idx="84">
                  <c:v>9.25</c:v>
                </c:pt>
                <c:pt idx="85">
                  <c:v>9.16</c:v>
                </c:pt>
                <c:pt idx="86">
                  <c:v>8.9700000000000006</c:v>
                </c:pt>
                <c:pt idx="87">
                  <c:v>9.08</c:v>
                </c:pt>
                <c:pt idx="88">
                  <c:v>9.17</c:v>
                </c:pt>
                <c:pt idx="89">
                  <c:v>9.07</c:v>
                </c:pt>
                <c:pt idx="90">
                  <c:v>9.25</c:v>
                </c:pt>
                <c:pt idx="91">
                  <c:v>9.26</c:v>
                </c:pt>
                <c:pt idx="92">
                  <c:v>9.2100000000000009</c:v>
                </c:pt>
                <c:pt idx="93">
                  <c:v>9.31</c:v>
                </c:pt>
                <c:pt idx="94">
                  <c:v>9.2899999999999991</c:v>
                </c:pt>
                <c:pt idx="95">
                  <c:v>9.27</c:v>
                </c:pt>
                <c:pt idx="96">
                  <c:v>9.14</c:v>
                </c:pt>
                <c:pt idx="97">
                  <c:v>8.6199999999999992</c:v>
                </c:pt>
                <c:pt idx="98">
                  <c:v>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0E-463C-B188-3FA9EE7F4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20346520"/>
        <c:axId val="420342912"/>
      </c:stockChart>
      <c:dateAx>
        <c:axId val="420346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42912"/>
        <c:crosses val="autoZero"/>
        <c:auto val="1"/>
        <c:lblOffset val="100"/>
        <c:baseTimeUnit val="days"/>
      </c:dateAx>
      <c:valAx>
        <c:axId val="420342912"/>
        <c:scaling>
          <c:orientation val="minMax"/>
          <c:max val="10"/>
          <c:min val="8.199999999999999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4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主頁面!$BU$1</c:f>
          <c:strCache>
            <c:ptCount val="1"/>
            <c:pt idx="0">
              <c:v>1314 翠華控股有限公司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主頁面!$BV$2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主頁面!$BU$3:$BU$101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主頁面!$BV$3:$BV$101</c:f>
              <c:numCache>
                <c:formatCode>General</c:formatCode>
                <c:ptCount val="99"/>
                <c:pt idx="0">
                  <c:v>1.24</c:v>
                </c:pt>
                <c:pt idx="1">
                  <c:v>1.23</c:v>
                </c:pt>
                <c:pt idx="2">
                  <c:v>1.23</c:v>
                </c:pt>
                <c:pt idx="3">
                  <c:v>1.22</c:v>
                </c:pt>
                <c:pt idx="4">
                  <c:v>1.23</c:v>
                </c:pt>
                <c:pt idx="5">
                  <c:v>1.2</c:v>
                </c:pt>
                <c:pt idx="6">
                  <c:v>1.21</c:v>
                </c:pt>
                <c:pt idx="7">
                  <c:v>1.22</c:v>
                </c:pt>
                <c:pt idx="8">
                  <c:v>1.21</c:v>
                </c:pt>
                <c:pt idx="9">
                  <c:v>1.22</c:v>
                </c:pt>
                <c:pt idx="10">
                  <c:v>1.23</c:v>
                </c:pt>
                <c:pt idx="11">
                  <c:v>1.24</c:v>
                </c:pt>
                <c:pt idx="12">
                  <c:v>1.24</c:v>
                </c:pt>
                <c:pt idx="13">
                  <c:v>1.22</c:v>
                </c:pt>
                <c:pt idx="14">
                  <c:v>1.25</c:v>
                </c:pt>
                <c:pt idx="15">
                  <c:v>1.22</c:v>
                </c:pt>
                <c:pt idx="16">
                  <c:v>1.22</c:v>
                </c:pt>
                <c:pt idx="17">
                  <c:v>1.24</c:v>
                </c:pt>
                <c:pt idx="18">
                  <c:v>1.23</c:v>
                </c:pt>
                <c:pt idx="19">
                  <c:v>1.22</c:v>
                </c:pt>
                <c:pt idx="20">
                  <c:v>1.23</c:v>
                </c:pt>
                <c:pt idx="21">
                  <c:v>1.23</c:v>
                </c:pt>
                <c:pt idx="22">
                  <c:v>1.21</c:v>
                </c:pt>
                <c:pt idx="23">
                  <c:v>1.29</c:v>
                </c:pt>
                <c:pt idx="24">
                  <c:v>1.2</c:v>
                </c:pt>
                <c:pt idx="25">
                  <c:v>1.19</c:v>
                </c:pt>
                <c:pt idx="26">
                  <c:v>1.19</c:v>
                </c:pt>
                <c:pt idx="27">
                  <c:v>1.18</c:v>
                </c:pt>
                <c:pt idx="28">
                  <c:v>1.1599999999999999</c:v>
                </c:pt>
                <c:pt idx="29">
                  <c:v>1.18</c:v>
                </c:pt>
                <c:pt idx="30">
                  <c:v>1.19</c:v>
                </c:pt>
                <c:pt idx="31">
                  <c:v>1.17</c:v>
                </c:pt>
                <c:pt idx="32">
                  <c:v>1.1599999999999999</c:v>
                </c:pt>
                <c:pt idx="33">
                  <c:v>1.18</c:v>
                </c:pt>
                <c:pt idx="34">
                  <c:v>1.17</c:v>
                </c:pt>
                <c:pt idx="35">
                  <c:v>1.1599999999999999</c:v>
                </c:pt>
                <c:pt idx="36">
                  <c:v>1.17</c:v>
                </c:pt>
                <c:pt idx="37">
                  <c:v>1.17</c:v>
                </c:pt>
                <c:pt idx="38">
                  <c:v>1.18</c:v>
                </c:pt>
                <c:pt idx="39">
                  <c:v>1.1599999999999999</c:v>
                </c:pt>
                <c:pt idx="40">
                  <c:v>1.1599999999999999</c:v>
                </c:pt>
                <c:pt idx="41">
                  <c:v>1.1499999999999999</c:v>
                </c:pt>
                <c:pt idx="42">
                  <c:v>1.1499999999999999</c:v>
                </c:pt>
                <c:pt idx="43">
                  <c:v>1.1499999999999999</c:v>
                </c:pt>
                <c:pt idx="44">
                  <c:v>1.1299999999999999</c:v>
                </c:pt>
                <c:pt idx="45">
                  <c:v>1.1200000000000001</c:v>
                </c:pt>
                <c:pt idx="46">
                  <c:v>1.1299999999999999</c:v>
                </c:pt>
                <c:pt idx="47">
                  <c:v>1.1299999999999999</c:v>
                </c:pt>
                <c:pt idx="48">
                  <c:v>1.1299999999999999</c:v>
                </c:pt>
                <c:pt idx="49">
                  <c:v>1.1399999999999999</c:v>
                </c:pt>
                <c:pt idx="50">
                  <c:v>1.1499999999999999</c:v>
                </c:pt>
                <c:pt idx="51">
                  <c:v>1.1599999999999999</c:v>
                </c:pt>
                <c:pt idx="52">
                  <c:v>1.1599999999999999</c:v>
                </c:pt>
                <c:pt idx="53">
                  <c:v>1.27</c:v>
                </c:pt>
                <c:pt idx="54">
                  <c:v>1.22</c:v>
                </c:pt>
                <c:pt idx="55">
                  <c:v>1.22</c:v>
                </c:pt>
                <c:pt idx="56">
                  <c:v>1.23</c:v>
                </c:pt>
                <c:pt idx="57">
                  <c:v>1.2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1.22</c:v>
                </c:pt>
                <c:pt idx="62">
                  <c:v>1.2</c:v>
                </c:pt>
                <c:pt idx="63">
                  <c:v>1.22</c:v>
                </c:pt>
                <c:pt idx="64">
                  <c:v>1.2</c:v>
                </c:pt>
                <c:pt idx="65">
                  <c:v>1.2</c:v>
                </c:pt>
                <c:pt idx="66">
                  <c:v>1.21</c:v>
                </c:pt>
                <c:pt idx="67">
                  <c:v>1.23</c:v>
                </c:pt>
                <c:pt idx="68">
                  <c:v>1.24</c:v>
                </c:pt>
                <c:pt idx="69">
                  <c:v>1.21</c:v>
                </c:pt>
                <c:pt idx="70">
                  <c:v>1.21</c:v>
                </c:pt>
                <c:pt idx="71">
                  <c:v>1.21</c:v>
                </c:pt>
                <c:pt idx="72">
                  <c:v>1.2</c:v>
                </c:pt>
                <c:pt idx="73">
                  <c:v>1.21</c:v>
                </c:pt>
                <c:pt idx="74">
                  <c:v>1.19</c:v>
                </c:pt>
                <c:pt idx="75">
                  <c:v>1.2</c:v>
                </c:pt>
                <c:pt idx="76">
                  <c:v>1.21</c:v>
                </c:pt>
                <c:pt idx="77">
                  <c:v>1.19</c:v>
                </c:pt>
                <c:pt idx="78">
                  <c:v>1.18</c:v>
                </c:pt>
                <c:pt idx="79">
                  <c:v>1.2</c:v>
                </c:pt>
                <c:pt idx="80">
                  <c:v>1.19</c:v>
                </c:pt>
                <c:pt idx="81">
                  <c:v>1.19</c:v>
                </c:pt>
                <c:pt idx="82">
                  <c:v>1.19</c:v>
                </c:pt>
                <c:pt idx="83">
                  <c:v>1.19</c:v>
                </c:pt>
                <c:pt idx="84">
                  <c:v>1.18</c:v>
                </c:pt>
                <c:pt idx="85">
                  <c:v>1.18</c:v>
                </c:pt>
                <c:pt idx="86">
                  <c:v>1.18</c:v>
                </c:pt>
                <c:pt idx="87">
                  <c:v>1.17</c:v>
                </c:pt>
                <c:pt idx="88">
                  <c:v>1.1599999999999999</c:v>
                </c:pt>
                <c:pt idx="89">
                  <c:v>1.17</c:v>
                </c:pt>
                <c:pt idx="90">
                  <c:v>1.19</c:v>
                </c:pt>
                <c:pt idx="91">
                  <c:v>1.1599999999999999</c:v>
                </c:pt>
                <c:pt idx="92">
                  <c:v>1.17</c:v>
                </c:pt>
                <c:pt idx="93">
                  <c:v>1.1599999999999999</c:v>
                </c:pt>
                <c:pt idx="94">
                  <c:v>1.1599999999999999</c:v>
                </c:pt>
                <c:pt idx="95">
                  <c:v>1.1499999999999999</c:v>
                </c:pt>
                <c:pt idx="96">
                  <c:v>1.19</c:v>
                </c:pt>
                <c:pt idx="97">
                  <c:v>1.1599999999999999</c:v>
                </c:pt>
                <c:pt idx="98">
                  <c:v>1.1399999999999999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4B-4ED9-847E-6837FFCD5226}"/>
            </c:ext>
          </c:extLst>
        </c:ser>
        <c:ser>
          <c:idx val="1"/>
          <c:order val="1"/>
          <c:tx>
            <c:strRef>
              <c:f>主頁面!$BW$2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主頁面!$BU$3:$BU$101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主頁面!$BW$3:$BW$101</c:f>
              <c:numCache>
                <c:formatCode>General</c:formatCode>
                <c:ptCount val="99"/>
                <c:pt idx="0">
                  <c:v>1.24</c:v>
                </c:pt>
                <c:pt idx="1">
                  <c:v>1.25</c:v>
                </c:pt>
                <c:pt idx="2">
                  <c:v>1.25</c:v>
                </c:pt>
                <c:pt idx="3">
                  <c:v>1.24</c:v>
                </c:pt>
                <c:pt idx="4">
                  <c:v>1.24</c:v>
                </c:pt>
                <c:pt idx="5">
                  <c:v>1.23</c:v>
                </c:pt>
                <c:pt idx="6">
                  <c:v>1.23</c:v>
                </c:pt>
                <c:pt idx="7">
                  <c:v>1.22</c:v>
                </c:pt>
                <c:pt idx="8">
                  <c:v>1.22</c:v>
                </c:pt>
                <c:pt idx="9">
                  <c:v>1.23</c:v>
                </c:pt>
                <c:pt idx="10">
                  <c:v>1.24</c:v>
                </c:pt>
                <c:pt idx="11">
                  <c:v>1.24</c:v>
                </c:pt>
                <c:pt idx="12">
                  <c:v>1.26</c:v>
                </c:pt>
                <c:pt idx="13">
                  <c:v>1.25</c:v>
                </c:pt>
                <c:pt idx="14">
                  <c:v>1.26</c:v>
                </c:pt>
                <c:pt idx="15">
                  <c:v>1.24</c:v>
                </c:pt>
                <c:pt idx="16">
                  <c:v>1.24</c:v>
                </c:pt>
                <c:pt idx="17">
                  <c:v>1.24</c:v>
                </c:pt>
                <c:pt idx="18">
                  <c:v>1.23</c:v>
                </c:pt>
                <c:pt idx="19">
                  <c:v>1.24</c:v>
                </c:pt>
                <c:pt idx="20">
                  <c:v>1.25</c:v>
                </c:pt>
                <c:pt idx="21">
                  <c:v>1.25</c:v>
                </c:pt>
                <c:pt idx="22">
                  <c:v>1.28</c:v>
                </c:pt>
                <c:pt idx="23">
                  <c:v>1.29</c:v>
                </c:pt>
                <c:pt idx="24">
                  <c:v>1.2</c:v>
                </c:pt>
                <c:pt idx="25">
                  <c:v>1.2</c:v>
                </c:pt>
                <c:pt idx="26">
                  <c:v>1.2</c:v>
                </c:pt>
                <c:pt idx="27">
                  <c:v>1.19</c:v>
                </c:pt>
                <c:pt idx="28">
                  <c:v>1.19</c:v>
                </c:pt>
                <c:pt idx="29">
                  <c:v>1.19</c:v>
                </c:pt>
                <c:pt idx="30">
                  <c:v>1.19</c:v>
                </c:pt>
                <c:pt idx="31">
                  <c:v>1.19</c:v>
                </c:pt>
                <c:pt idx="32">
                  <c:v>1.19</c:v>
                </c:pt>
                <c:pt idx="33">
                  <c:v>1.19</c:v>
                </c:pt>
                <c:pt idx="34">
                  <c:v>1.18</c:v>
                </c:pt>
                <c:pt idx="35">
                  <c:v>1.17</c:v>
                </c:pt>
                <c:pt idx="36">
                  <c:v>1.17</c:v>
                </c:pt>
                <c:pt idx="37">
                  <c:v>1.18</c:v>
                </c:pt>
                <c:pt idx="38">
                  <c:v>1.21</c:v>
                </c:pt>
                <c:pt idx="39">
                  <c:v>1.17</c:v>
                </c:pt>
                <c:pt idx="40">
                  <c:v>1.1599999999999999</c:v>
                </c:pt>
                <c:pt idx="41">
                  <c:v>1.1599999999999999</c:v>
                </c:pt>
                <c:pt idx="42">
                  <c:v>1.1499999999999999</c:v>
                </c:pt>
                <c:pt idx="43">
                  <c:v>1.1599999999999999</c:v>
                </c:pt>
                <c:pt idx="44">
                  <c:v>1.1399999999999999</c:v>
                </c:pt>
                <c:pt idx="45">
                  <c:v>1.1399999999999999</c:v>
                </c:pt>
                <c:pt idx="46">
                  <c:v>1.1499999999999999</c:v>
                </c:pt>
                <c:pt idx="47">
                  <c:v>1.1399999999999999</c:v>
                </c:pt>
                <c:pt idx="48">
                  <c:v>1.1499999999999999</c:v>
                </c:pt>
                <c:pt idx="49">
                  <c:v>1.1599999999999999</c:v>
                </c:pt>
                <c:pt idx="50">
                  <c:v>1.17</c:v>
                </c:pt>
                <c:pt idx="51">
                  <c:v>1.17</c:v>
                </c:pt>
                <c:pt idx="52">
                  <c:v>1.27</c:v>
                </c:pt>
                <c:pt idx="53">
                  <c:v>1.28</c:v>
                </c:pt>
                <c:pt idx="54">
                  <c:v>1.23</c:v>
                </c:pt>
                <c:pt idx="55">
                  <c:v>1.24</c:v>
                </c:pt>
                <c:pt idx="56">
                  <c:v>1.23</c:v>
                </c:pt>
                <c:pt idx="57">
                  <c:v>1.2</c:v>
                </c:pt>
                <c:pt idx="58">
                  <c:v>1.2</c:v>
                </c:pt>
                <c:pt idx="59">
                  <c:v>1.21</c:v>
                </c:pt>
                <c:pt idx="60">
                  <c:v>1.22</c:v>
                </c:pt>
                <c:pt idx="61">
                  <c:v>1.22</c:v>
                </c:pt>
                <c:pt idx="62">
                  <c:v>1.22</c:v>
                </c:pt>
                <c:pt idx="63">
                  <c:v>1.22</c:v>
                </c:pt>
                <c:pt idx="64">
                  <c:v>1.22</c:v>
                </c:pt>
                <c:pt idx="65">
                  <c:v>1.23</c:v>
                </c:pt>
                <c:pt idx="66">
                  <c:v>1.23</c:v>
                </c:pt>
                <c:pt idx="67">
                  <c:v>1.24</c:v>
                </c:pt>
                <c:pt idx="68">
                  <c:v>1.25</c:v>
                </c:pt>
                <c:pt idx="69">
                  <c:v>1.24</c:v>
                </c:pt>
                <c:pt idx="70">
                  <c:v>1.21</c:v>
                </c:pt>
                <c:pt idx="71">
                  <c:v>1.21</c:v>
                </c:pt>
                <c:pt idx="72">
                  <c:v>1.22</c:v>
                </c:pt>
                <c:pt idx="73">
                  <c:v>1.21</c:v>
                </c:pt>
                <c:pt idx="74">
                  <c:v>1.21</c:v>
                </c:pt>
                <c:pt idx="75">
                  <c:v>1.21</c:v>
                </c:pt>
                <c:pt idx="76">
                  <c:v>1.21</c:v>
                </c:pt>
                <c:pt idx="77">
                  <c:v>1.2</c:v>
                </c:pt>
                <c:pt idx="78">
                  <c:v>1.21</c:v>
                </c:pt>
                <c:pt idx="79">
                  <c:v>1.2</c:v>
                </c:pt>
                <c:pt idx="80">
                  <c:v>1.21</c:v>
                </c:pt>
                <c:pt idx="81">
                  <c:v>1.2</c:v>
                </c:pt>
                <c:pt idx="82">
                  <c:v>1.19</c:v>
                </c:pt>
                <c:pt idx="83">
                  <c:v>1.19</c:v>
                </c:pt>
                <c:pt idx="84">
                  <c:v>1.18</c:v>
                </c:pt>
                <c:pt idx="85">
                  <c:v>1.19</c:v>
                </c:pt>
                <c:pt idx="86">
                  <c:v>1.19</c:v>
                </c:pt>
                <c:pt idx="87">
                  <c:v>1.18</c:v>
                </c:pt>
                <c:pt idx="88">
                  <c:v>1.18</c:v>
                </c:pt>
                <c:pt idx="89">
                  <c:v>1.19</c:v>
                </c:pt>
                <c:pt idx="90">
                  <c:v>1.19</c:v>
                </c:pt>
                <c:pt idx="91">
                  <c:v>1.18</c:v>
                </c:pt>
                <c:pt idx="92">
                  <c:v>1.17</c:v>
                </c:pt>
                <c:pt idx="93">
                  <c:v>1.19</c:v>
                </c:pt>
                <c:pt idx="94">
                  <c:v>1.18</c:v>
                </c:pt>
                <c:pt idx="95">
                  <c:v>1.19</c:v>
                </c:pt>
                <c:pt idx="96">
                  <c:v>1.19</c:v>
                </c:pt>
                <c:pt idx="97">
                  <c:v>1.1599999999999999</c:v>
                </c:pt>
                <c:pt idx="98">
                  <c:v>1.1599999999999999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4B-4ED9-847E-6837FFCD5226}"/>
            </c:ext>
          </c:extLst>
        </c:ser>
        <c:ser>
          <c:idx val="2"/>
          <c:order val="2"/>
          <c:tx>
            <c:strRef>
              <c:f>主頁面!$BX$2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主頁面!$BU$3:$BU$101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主頁面!$BX$3:$BX$101</c:f>
              <c:numCache>
                <c:formatCode>General</c:formatCode>
                <c:ptCount val="99"/>
                <c:pt idx="0">
                  <c:v>1.22</c:v>
                </c:pt>
                <c:pt idx="1">
                  <c:v>1.22</c:v>
                </c:pt>
                <c:pt idx="2">
                  <c:v>1.22</c:v>
                </c:pt>
                <c:pt idx="3">
                  <c:v>1.22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1.23</c:v>
                </c:pt>
                <c:pt idx="11">
                  <c:v>1.22</c:v>
                </c:pt>
                <c:pt idx="12">
                  <c:v>1.21</c:v>
                </c:pt>
                <c:pt idx="13">
                  <c:v>1.22</c:v>
                </c:pt>
                <c:pt idx="14">
                  <c:v>1.24</c:v>
                </c:pt>
                <c:pt idx="15">
                  <c:v>1.21</c:v>
                </c:pt>
                <c:pt idx="16">
                  <c:v>1.22</c:v>
                </c:pt>
                <c:pt idx="17">
                  <c:v>1.22</c:v>
                </c:pt>
                <c:pt idx="18">
                  <c:v>1.22</c:v>
                </c:pt>
                <c:pt idx="19">
                  <c:v>1.22</c:v>
                </c:pt>
                <c:pt idx="20">
                  <c:v>1.22</c:v>
                </c:pt>
                <c:pt idx="21">
                  <c:v>1.21</c:v>
                </c:pt>
                <c:pt idx="22">
                  <c:v>1.21</c:v>
                </c:pt>
                <c:pt idx="23">
                  <c:v>1.2</c:v>
                </c:pt>
                <c:pt idx="24">
                  <c:v>1.1499999999999999</c:v>
                </c:pt>
                <c:pt idx="25">
                  <c:v>1.17</c:v>
                </c:pt>
                <c:pt idx="26">
                  <c:v>1.1599999999999999</c:v>
                </c:pt>
                <c:pt idx="27">
                  <c:v>1.17</c:v>
                </c:pt>
                <c:pt idx="28">
                  <c:v>1.1599999999999999</c:v>
                </c:pt>
                <c:pt idx="29">
                  <c:v>1.17</c:v>
                </c:pt>
                <c:pt idx="30">
                  <c:v>1.17</c:v>
                </c:pt>
                <c:pt idx="31">
                  <c:v>1.1599999999999999</c:v>
                </c:pt>
                <c:pt idx="32">
                  <c:v>1.1599999999999999</c:v>
                </c:pt>
                <c:pt idx="33">
                  <c:v>1.1599999999999999</c:v>
                </c:pt>
                <c:pt idx="34">
                  <c:v>1.1499999999999999</c:v>
                </c:pt>
                <c:pt idx="35">
                  <c:v>1.1499999999999999</c:v>
                </c:pt>
                <c:pt idx="36">
                  <c:v>1.1499999999999999</c:v>
                </c:pt>
                <c:pt idx="37">
                  <c:v>1.1599999999999999</c:v>
                </c:pt>
                <c:pt idx="38">
                  <c:v>1.1599999999999999</c:v>
                </c:pt>
                <c:pt idx="39">
                  <c:v>1.1599999999999999</c:v>
                </c:pt>
                <c:pt idx="40">
                  <c:v>1.1399999999999999</c:v>
                </c:pt>
                <c:pt idx="41">
                  <c:v>1.1399999999999999</c:v>
                </c:pt>
                <c:pt idx="42">
                  <c:v>1.1299999999999999</c:v>
                </c:pt>
                <c:pt idx="43">
                  <c:v>1.1200000000000001</c:v>
                </c:pt>
                <c:pt idx="44">
                  <c:v>1.1200000000000001</c:v>
                </c:pt>
                <c:pt idx="45">
                  <c:v>1.1200000000000001</c:v>
                </c:pt>
                <c:pt idx="46">
                  <c:v>1.1299999999999999</c:v>
                </c:pt>
                <c:pt idx="47">
                  <c:v>1.1299999999999999</c:v>
                </c:pt>
                <c:pt idx="48">
                  <c:v>1.1200000000000001</c:v>
                </c:pt>
                <c:pt idx="49">
                  <c:v>1.1399999999999999</c:v>
                </c:pt>
                <c:pt idx="50">
                  <c:v>1.1499999999999999</c:v>
                </c:pt>
                <c:pt idx="51">
                  <c:v>1.1499999999999999</c:v>
                </c:pt>
                <c:pt idx="52">
                  <c:v>1.1299999999999999</c:v>
                </c:pt>
                <c:pt idx="53">
                  <c:v>1.2</c:v>
                </c:pt>
                <c:pt idx="54">
                  <c:v>1.2</c:v>
                </c:pt>
                <c:pt idx="55">
                  <c:v>1.22</c:v>
                </c:pt>
                <c:pt idx="56">
                  <c:v>1.19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</c:v>
                </c:pt>
                <c:pt idx="61">
                  <c:v>1.21</c:v>
                </c:pt>
                <c:pt idx="62">
                  <c:v>1.2</c:v>
                </c:pt>
                <c:pt idx="63">
                  <c:v>1.2</c:v>
                </c:pt>
                <c:pt idx="64">
                  <c:v>1.2</c:v>
                </c:pt>
                <c:pt idx="65">
                  <c:v>1.2</c:v>
                </c:pt>
                <c:pt idx="66">
                  <c:v>1.21</c:v>
                </c:pt>
                <c:pt idx="67">
                  <c:v>1.22</c:v>
                </c:pt>
                <c:pt idx="68">
                  <c:v>1.21</c:v>
                </c:pt>
                <c:pt idx="69">
                  <c:v>1.2</c:v>
                </c:pt>
                <c:pt idx="70">
                  <c:v>1.19</c:v>
                </c:pt>
                <c:pt idx="71">
                  <c:v>1.2</c:v>
                </c:pt>
                <c:pt idx="72">
                  <c:v>1.18</c:v>
                </c:pt>
                <c:pt idx="73">
                  <c:v>1.19</c:v>
                </c:pt>
                <c:pt idx="74">
                  <c:v>1.19</c:v>
                </c:pt>
                <c:pt idx="75">
                  <c:v>1.2</c:v>
                </c:pt>
                <c:pt idx="76">
                  <c:v>1.19</c:v>
                </c:pt>
                <c:pt idx="77">
                  <c:v>1.18</c:v>
                </c:pt>
                <c:pt idx="78">
                  <c:v>1.18</c:v>
                </c:pt>
                <c:pt idx="79">
                  <c:v>1.19</c:v>
                </c:pt>
                <c:pt idx="80">
                  <c:v>1.19</c:v>
                </c:pt>
                <c:pt idx="81">
                  <c:v>1.19</c:v>
                </c:pt>
                <c:pt idx="82">
                  <c:v>1.17</c:v>
                </c:pt>
                <c:pt idx="83">
                  <c:v>1.17</c:v>
                </c:pt>
                <c:pt idx="84">
                  <c:v>1.17</c:v>
                </c:pt>
                <c:pt idx="85">
                  <c:v>1.17</c:v>
                </c:pt>
                <c:pt idx="86">
                  <c:v>1.1599999999999999</c:v>
                </c:pt>
                <c:pt idx="87">
                  <c:v>1.17</c:v>
                </c:pt>
                <c:pt idx="88">
                  <c:v>1.1599999999999999</c:v>
                </c:pt>
                <c:pt idx="89">
                  <c:v>1.17</c:v>
                </c:pt>
                <c:pt idx="90">
                  <c:v>1.1499999999999999</c:v>
                </c:pt>
                <c:pt idx="91">
                  <c:v>1.1499999999999999</c:v>
                </c:pt>
                <c:pt idx="92">
                  <c:v>1.17</c:v>
                </c:pt>
                <c:pt idx="93">
                  <c:v>1.1599999999999999</c:v>
                </c:pt>
                <c:pt idx="94">
                  <c:v>1.1499999999999999</c:v>
                </c:pt>
                <c:pt idx="95">
                  <c:v>1.1499999999999999</c:v>
                </c:pt>
                <c:pt idx="96">
                  <c:v>1.1599999999999999</c:v>
                </c:pt>
                <c:pt idx="97">
                  <c:v>1.1399999999999999</c:v>
                </c:pt>
                <c:pt idx="98">
                  <c:v>1.1399999999999999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4B-4ED9-847E-6837FFCD5226}"/>
            </c:ext>
          </c:extLst>
        </c:ser>
        <c:ser>
          <c:idx val="3"/>
          <c:order val="3"/>
          <c:tx>
            <c:strRef>
              <c:f>主頁面!$BY$2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主頁面!$BU$3:$BU$101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主頁面!$BY$3:$BY$101</c:f>
              <c:numCache>
                <c:formatCode>General</c:formatCode>
                <c:ptCount val="99"/>
                <c:pt idx="0">
                  <c:v>1.24</c:v>
                </c:pt>
                <c:pt idx="1">
                  <c:v>1.25</c:v>
                </c:pt>
                <c:pt idx="2">
                  <c:v>1.23</c:v>
                </c:pt>
                <c:pt idx="3">
                  <c:v>1.23</c:v>
                </c:pt>
                <c:pt idx="4">
                  <c:v>1.2</c:v>
                </c:pt>
                <c:pt idx="5">
                  <c:v>1.23</c:v>
                </c:pt>
                <c:pt idx="6">
                  <c:v>1.22</c:v>
                </c:pt>
                <c:pt idx="7">
                  <c:v>1.21</c:v>
                </c:pt>
                <c:pt idx="8">
                  <c:v>1.22</c:v>
                </c:pt>
                <c:pt idx="9">
                  <c:v>1.22</c:v>
                </c:pt>
                <c:pt idx="10">
                  <c:v>1.24</c:v>
                </c:pt>
                <c:pt idx="11">
                  <c:v>1.22</c:v>
                </c:pt>
                <c:pt idx="12">
                  <c:v>1.22</c:v>
                </c:pt>
                <c:pt idx="13">
                  <c:v>1.25</c:v>
                </c:pt>
                <c:pt idx="14">
                  <c:v>1.24</c:v>
                </c:pt>
                <c:pt idx="15">
                  <c:v>1.22</c:v>
                </c:pt>
                <c:pt idx="16">
                  <c:v>1.24</c:v>
                </c:pt>
                <c:pt idx="17">
                  <c:v>1.23</c:v>
                </c:pt>
                <c:pt idx="18">
                  <c:v>1.22</c:v>
                </c:pt>
                <c:pt idx="19">
                  <c:v>1.23</c:v>
                </c:pt>
                <c:pt idx="20">
                  <c:v>1.23</c:v>
                </c:pt>
                <c:pt idx="21">
                  <c:v>1.21</c:v>
                </c:pt>
                <c:pt idx="22">
                  <c:v>1.27</c:v>
                </c:pt>
                <c:pt idx="23">
                  <c:v>1.21</c:v>
                </c:pt>
                <c:pt idx="24">
                  <c:v>1.19</c:v>
                </c:pt>
                <c:pt idx="25">
                  <c:v>1.2</c:v>
                </c:pt>
                <c:pt idx="26">
                  <c:v>1.18</c:v>
                </c:pt>
                <c:pt idx="27">
                  <c:v>1.17</c:v>
                </c:pt>
                <c:pt idx="28">
                  <c:v>1.19</c:v>
                </c:pt>
                <c:pt idx="29">
                  <c:v>1.19</c:v>
                </c:pt>
                <c:pt idx="30">
                  <c:v>1.17</c:v>
                </c:pt>
                <c:pt idx="31">
                  <c:v>1.1599999999999999</c:v>
                </c:pt>
                <c:pt idx="32">
                  <c:v>1.19</c:v>
                </c:pt>
                <c:pt idx="33">
                  <c:v>1.17</c:v>
                </c:pt>
                <c:pt idx="34">
                  <c:v>1.1599999999999999</c:v>
                </c:pt>
                <c:pt idx="35">
                  <c:v>1.17</c:v>
                </c:pt>
                <c:pt idx="36">
                  <c:v>1.1599999999999999</c:v>
                </c:pt>
                <c:pt idx="37">
                  <c:v>1.1599999999999999</c:v>
                </c:pt>
                <c:pt idx="38">
                  <c:v>1.1599999999999999</c:v>
                </c:pt>
                <c:pt idx="39">
                  <c:v>1.1599999999999999</c:v>
                </c:pt>
                <c:pt idx="40">
                  <c:v>1.1399999999999999</c:v>
                </c:pt>
                <c:pt idx="41">
                  <c:v>1.1399999999999999</c:v>
                </c:pt>
                <c:pt idx="42">
                  <c:v>1.1299999999999999</c:v>
                </c:pt>
                <c:pt idx="43">
                  <c:v>1.1299999999999999</c:v>
                </c:pt>
                <c:pt idx="44">
                  <c:v>1.1299999999999999</c:v>
                </c:pt>
                <c:pt idx="45">
                  <c:v>1.1299999999999999</c:v>
                </c:pt>
                <c:pt idx="46">
                  <c:v>1.1299999999999999</c:v>
                </c:pt>
                <c:pt idx="47">
                  <c:v>1.1299999999999999</c:v>
                </c:pt>
                <c:pt idx="48">
                  <c:v>1.1399999999999999</c:v>
                </c:pt>
                <c:pt idx="49">
                  <c:v>1.1499999999999999</c:v>
                </c:pt>
                <c:pt idx="50">
                  <c:v>1.17</c:v>
                </c:pt>
                <c:pt idx="51">
                  <c:v>1.17</c:v>
                </c:pt>
                <c:pt idx="52">
                  <c:v>1.26</c:v>
                </c:pt>
                <c:pt idx="53">
                  <c:v>1.22</c:v>
                </c:pt>
                <c:pt idx="54">
                  <c:v>1.22</c:v>
                </c:pt>
                <c:pt idx="55">
                  <c:v>1.23</c:v>
                </c:pt>
                <c:pt idx="56">
                  <c:v>1.2</c:v>
                </c:pt>
                <c:pt idx="57">
                  <c:v>1.18</c:v>
                </c:pt>
                <c:pt idx="58">
                  <c:v>1.2</c:v>
                </c:pt>
                <c:pt idx="59">
                  <c:v>1.21</c:v>
                </c:pt>
                <c:pt idx="60">
                  <c:v>1.21</c:v>
                </c:pt>
                <c:pt idx="61">
                  <c:v>1.22</c:v>
                </c:pt>
                <c:pt idx="62">
                  <c:v>1.21</c:v>
                </c:pt>
                <c:pt idx="63">
                  <c:v>1.21</c:v>
                </c:pt>
                <c:pt idx="64">
                  <c:v>1.21</c:v>
                </c:pt>
                <c:pt idx="65">
                  <c:v>1.23</c:v>
                </c:pt>
                <c:pt idx="66">
                  <c:v>1.23</c:v>
                </c:pt>
                <c:pt idx="67">
                  <c:v>1.24</c:v>
                </c:pt>
                <c:pt idx="68">
                  <c:v>1.24</c:v>
                </c:pt>
                <c:pt idx="69">
                  <c:v>1.21</c:v>
                </c:pt>
                <c:pt idx="70">
                  <c:v>1.21</c:v>
                </c:pt>
                <c:pt idx="71">
                  <c:v>1.2</c:v>
                </c:pt>
                <c:pt idx="72">
                  <c:v>1.19</c:v>
                </c:pt>
                <c:pt idx="73">
                  <c:v>1.2</c:v>
                </c:pt>
                <c:pt idx="74">
                  <c:v>1.2</c:v>
                </c:pt>
                <c:pt idx="75">
                  <c:v>1.21</c:v>
                </c:pt>
                <c:pt idx="76">
                  <c:v>1.19</c:v>
                </c:pt>
                <c:pt idx="77">
                  <c:v>1.19</c:v>
                </c:pt>
                <c:pt idx="78">
                  <c:v>1.21</c:v>
                </c:pt>
                <c:pt idx="79">
                  <c:v>1.19</c:v>
                </c:pt>
                <c:pt idx="80">
                  <c:v>1.19</c:v>
                </c:pt>
                <c:pt idx="81">
                  <c:v>1.2</c:v>
                </c:pt>
                <c:pt idx="82">
                  <c:v>1.19</c:v>
                </c:pt>
                <c:pt idx="83">
                  <c:v>1.19</c:v>
                </c:pt>
                <c:pt idx="84">
                  <c:v>1.17</c:v>
                </c:pt>
                <c:pt idx="85">
                  <c:v>1.17</c:v>
                </c:pt>
                <c:pt idx="86">
                  <c:v>1.18</c:v>
                </c:pt>
                <c:pt idx="87">
                  <c:v>1.18</c:v>
                </c:pt>
                <c:pt idx="88">
                  <c:v>1.17</c:v>
                </c:pt>
                <c:pt idx="89">
                  <c:v>1.19</c:v>
                </c:pt>
                <c:pt idx="90">
                  <c:v>1.17</c:v>
                </c:pt>
                <c:pt idx="91">
                  <c:v>1.17</c:v>
                </c:pt>
                <c:pt idx="92">
                  <c:v>1.17</c:v>
                </c:pt>
                <c:pt idx="93">
                  <c:v>1.18</c:v>
                </c:pt>
                <c:pt idx="94">
                  <c:v>1.1599999999999999</c:v>
                </c:pt>
                <c:pt idx="95">
                  <c:v>1.18</c:v>
                </c:pt>
                <c:pt idx="96">
                  <c:v>1.18</c:v>
                </c:pt>
                <c:pt idx="97">
                  <c:v>1.1399999999999999</c:v>
                </c:pt>
                <c:pt idx="98">
                  <c:v>1.1599999999999999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4B-4ED9-847E-6837FFCD5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13549992"/>
        <c:axId val="420001016"/>
      </c:stockChart>
      <c:dateAx>
        <c:axId val="413549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01016"/>
        <c:crosses val="autoZero"/>
        <c:auto val="1"/>
        <c:lblOffset val="100"/>
        <c:baseTimeUnit val="days"/>
      </c:dateAx>
      <c:valAx>
        <c:axId val="420001016"/>
        <c:scaling>
          <c:orientation val="minMax"/>
          <c:max val="1.3"/>
          <c:min val="1.1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4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主頁面!$CD$1</c:f>
          <c:strCache>
            <c:ptCount val="1"/>
            <c:pt idx="0">
              <c:v>1818 招金礦業股份有限公司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主頁面!$CE$2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主頁面!$CD$3:$CD$101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主頁面!$CE$3:$CE$101</c:f>
              <c:numCache>
                <c:formatCode>General</c:formatCode>
                <c:ptCount val="99"/>
                <c:pt idx="0">
                  <c:v>7</c:v>
                </c:pt>
                <c:pt idx="1">
                  <c:v>7</c:v>
                </c:pt>
                <c:pt idx="2">
                  <c:v>7.32</c:v>
                </c:pt>
                <c:pt idx="3">
                  <c:v>7.36</c:v>
                </c:pt>
                <c:pt idx="4">
                  <c:v>7.34</c:v>
                </c:pt>
                <c:pt idx="5">
                  <c:v>7.35</c:v>
                </c:pt>
                <c:pt idx="6">
                  <c:v>7.11</c:v>
                </c:pt>
                <c:pt idx="7">
                  <c:v>7.02</c:v>
                </c:pt>
                <c:pt idx="8">
                  <c:v>6.95</c:v>
                </c:pt>
                <c:pt idx="9">
                  <c:v>6.96</c:v>
                </c:pt>
                <c:pt idx="10">
                  <c:v>6.89</c:v>
                </c:pt>
                <c:pt idx="11">
                  <c:v>6.78</c:v>
                </c:pt>
                <c:pt idx="12">
                  <c:v>6.85</c:v>
                </c:pt>
                <c:pt idx="13">
                  <c:v>6.76</c:v>
                </c:pt>
                <c:pt idx="14">
                  <c:v>6.57</c:v>
                </c:pt>
                <c:pt idx="15">
                  <c:v>6.41</c:v>
                </c:pt>
                <c:pt idx="16">
                  <c:v>6.37</c:v>
                </c:pt>
                <c:pt idx="17">
                  <c:v>6.4</c:v>
                </c:pt>
                <c:pt idx="18">
                  <c:v>6.44</c:v>
                </c:pt>
                <c:pt idx="19">
                  <c:v>6.35</c:v>
                </c:pt>
                <c:pt idx="20">
                  <c:v>6.39</c:v>
                </c:pt>
                <c:pt idx="21">
                  <c:v>6.36</c:v>
                </c:pt>
                <c:pt idx="22">
                  <c:v>6.5</c:v>
                </c:pt>
                <c:pt idx="23">
                  <c:v>6.56</c:v>
                </c:pt>
                <c:pt idx="24">
                  <c:v>6.85</c:v>
                </c:pt>
                <c:pt idx="25">
                  <c:v>6.59</c:v>
                </c:pt>
                <c:pt idx="26">
                  <c:v>6.6</c:v>
                </c:pt>
                <c:pt idx="27">
                  <c:v>6.65</c:v>
                </c:pt>
                <c:pt idx="28">
                  <c:v>6.66</c:v>
                </c:pt>
                <c:pt idx="29">
                  <c:v>6.58</c:v>
                </c:pt>
                <c:pt idx="30">
                  <c:v>6.59</c:v>
                </c:pt>
                <c:pt idx="31">
                  <c:v>6.55</c:v>
                </c:pt>
                <c:pt idx="32">
                  <c:v>6.52</c:v>
                </c:pt>
                <c:pt idx="33">
                  <c:v>6.41</c:v>
                </c:pt>
                <c:pt idx="34">
                  <c:v>6.41</c:v>
                </c:pt>
                <c:pt idx="35">
                  <c:v>6.5</c:v>
                </c:pt>
                <c:pt idx="36">
                  <c:v>6.49</c:v>
                </c:pt>
                <c:pt idx="37">
                  <c:v>6.68</c:v>
                </c:pt>
                <c:pt idx="38">
                  <c:v>6.74</c:v>
                </c:pt>
                <c:pt idx="39">
                  <c:v>6.7</c:v>
                </c:pt>
                <c:pt idx="40">
                  <c:v>6.59</c:v>
                </c:pt>
                <c:pt idx="41">
                  <c:v>6.45</c:v>
                </c:pt>
                <c:pt idx="42">
                  <c:v>6.49</c:v>
                </c:pt>
                <c:pt idx="43">
                  <c:v>6.48</c:v>
                </c:pt>
                <c:pt idx="44">
                  <c:v>6.4</c:v>
                </c:pt>
                <c:pt idx="45">
                  <c:v>6.35</c:v>
                </c:pt>
                <c:pt idx="46">
                  <c:v>6.31</c:v>
                </c:pt>
                <c:pt idx="47">
                  <c:v>6.3</c:v>
                </c:pt>
                <c:pt idx="48">
                  <c:v>6.3</c:v>
                </c:pt>
                <c:pt idx="49">
                  <c:v>6.39</c:v>
                </c:pt>
                <c:pt idx="50">
                  <c:v>6.41</c:v>
                </c:pt>
                <c:pt idx="51">
                  <c:v>6.34</c:v>
                </c:pt>
                <c:pt idx="52">
                  <c:v>6.4</c:v>
                </c:pt>
                <c:pt idx="53">
                  <c:v>6.35</c:v>
                </c:pt>
                <c:pt idx="54">
                  <c:v>6.32</c:v>
                </c:pt>
                <c:pt idx="55">
                  <c:v>6.35</c:v>
                </c:pt>
                <c:pt idx="56">
                  <c:v>6.28</c:v>
                </c:pt>
                <c:pt idx="57">
                  <c:v>6.3</c:v>
                </c:pt>
                <c:pt idx="58">
                  <c:v>6.23</c:v>
                </c:pt>
                <c:pt idx="59">
                  <c:v>6.2</c:v>
                </c:pt>
                <c:pt idx="60">
                  <c:v>6.15</c:v>
                </c:pt>
                <c:pt idx="61">
                  <c:v>6.15</c:v>
                </c:pt>
                <c:pt idx="62">
                  <c:v>6.21</c:v>
                </c:pt>
                <c:pt idx="63">
                  <c:v>6.2</c:v>
                </c:pt>
                <c:pt idx="64">
                  <c:v>6.26</c:v>
                </c:pt>
                <c:pt idx="65">
                  <c:v>6.31</c:v>
                </c:pt>
                <c:pt idx="66">
                  <c:v>6.21</c:v>
                </c:pt>
                <c:pt idx="67">
                  <c:v>6.41</c:v>
                </c:pt>
                <c:pt idx="68">
                  <c:v>6.4</c:v>
                </c:pt>
                <c:pt idx="69">
                  <c:v>6.4</c:v>
                </c:pt>
                <c:pt idx="70">
                  <c:v>6.36</c:v>
                </c:pt>
                <c:pt idx="71">
                  <c:v>6.35</c:v>
                </c:pt>
                <c:pt idx="72">
                  <c:v>6.3</c:v>
                </c:pt>
                <c:pt idx="73">
                  <c:v>6.36</c:v>
                </c:pt>
                <c:pt idx="74">
                  <c:v>6.31</c:v>
                </c:pt>
                <c:pt idx="75">
                  <c:v>6.35</c:v>
                </c:pt>
                <c:pt idx="76">
                  <c:v>6.41</c:v>
                </c:pt>
                <c:pt idx="77">
                  <c:v>6.39</c:v>
                </c:pt>
                <c:pt idx="78">
                  <c:v>6.4</c:v>
                </c:pt>
                <c:pt idx="79">
                  <c:v>6.41</c:v>
                </c:pt>
                <c:pt idx="80">
                  <c:v>6.58</c:v>
                </c:pt>
                <c:pt idx="81">
                  <c:v>6.53</c:v>
                </c:pt>
                <c:pt idx="82">
                  <c:v>6.55</c:v>
                </c:pt>
                <c:pt idx="83">
                  <c:v>6.7</c:v>
                </c:pt>
                <c:pt idx="84">
                  <c:v>6.8</c:v>
                </c:pt>
                <c:pt idx="85">
                  <c:v>6.48</c:v>
                </c:pt>
                <c:pt idx="86">
                  <c:v>6.53</c:v>
                </c:pt>
                <c:pt idx="87">
                  <c:v>6.39</c:v>
                </c:pt>
                <c:pt idx="88">
                  <c:v>6.45</c:v>
                </c:pt>
                <c:pt idx="89">
                  <c:v>6.45</c:v>
                </c:pt>
                <c:pt idx="90">
                  <c:v>6.46</c:v>
                </c:pt>
                <c:pt idx="91">
                  <c:v>6.42</c:v>
                </c:pt>
                <c:pt idx="92">
                  <c:v>6.4</c:v>
                </c:pt>
                <c:pt idx="93">
                  <c:v>6.39</c:v>
                </c:pt>
                <c:pt idx="94">
                  <c:v>6.4</c:v>
                </c:pt>
                <c:pt idx="95">
                  <c:v>6.52</c:v>
                </c:pt>
                <c:pt idx="96">
                  <c:v>6.8</c:v>
                </c:pt>
                <c:pt idx="97">
                  <c:v>6.74</c:v>
                </c:pt>
                <c:pt idx="98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9E-4455-8CE1-03577EEEE418}"/>
            </c:ext>
          </c:extLst>
        </c:ser>
        <c:ser>
          <c:idx val="1"/>
          <c:order val="1"/>
          <c:tx>
            <c:strRef>
              <c:f>主頁面!$CF$2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主頁面!$CD$3:$CD$101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主頁面!$CF$3:$CF$101</c:f>
              <c:numCache>
                <c:formatCode>General</c:formatCode>
                <c:ptCount val="99"/>
                <c:pt idx="0">
                  <c:v>7</c:v>
                </c:pt>
                <c:pt idx="1">
                  <c:v>7.26</c:v>
                </c:pt>
                <c:pt idx="2">
                  <c:v>7.41</c:v>
                </c:pt>
                <c:pt idx="3">
                  <c:v>7.4</c:v>
                </c:pt>
                <c:pt idx="4">
                  <c:v>7.4</c:v>
                </c:pt>
                <c:pt idx="5">
                  <c:v>7.35</c:v>
                </c:pt>
                <c:pt idx="6">
                  <c:v>7.14</c:v>
                </c:pt>
                <c:pt idx="7">
                  <c:v>7.13</c:v>
                </c:pt>
                <c:pt idx="8">
                  <c:v>6.99</c:v>
                </c:pt>
                <c:pt idx="9">
                  <c:v>6.98</c:v>
                </c:pt>
                <c:pt idx="10">
                  <c:v>6.89</c:v>
                </c:pt>
                <c:pt idx="11">
                  <c:v>6.92</c:v>
                </c:pt>
                <c:pt idx="12">
                  <c:v>6.85</c:v>
                </c:pt>
                <c:pt idx="13">
                  <c:v>6.77</c:v>
                </c:pt>
                <c:pt idx="14">
                  <c:v>6.57</c:v>
                </c:pt>
                <c:pt idx="15">
                  <c:v>6.42</c:v>
                </c:pt>
                <c:pt idx="16">
                  <c:v>6.5</c:v>
                </c:pt>
                <c:pt idx="17">
                  <c:v>6.51</c:v>
                </c:pt>
                <c:pt idx="18">
                  <c:v>6.44</c:v>
                </c:pt>
                <c:pt idx="19">
                  <c:v>6.44</c:v>
                </c:pt>
                <c:pt idx="20">
                  <c:v>6.4</c:v>
                </c:pt>
                <c:pt idx="21">
                  <c:v>6.48</c:v>
                </c:pt>
                <c:pt idx="22">
                  <c:v>6.59</c:v>
                </c:pt>
                <c:pt idx="23">
                  <c:v>6.74</c:v>
                </c:pt>
                <c:pt idx="24">
                  <c:v>6.87</c:v>
                </c:pt>
                <c:pt idx="25">
                  <c:v>6.66</c:v>
                </c:pt>
                <c:pt idx="26">
                  <c:v>6.68</c:v>
                </c:pt>
                <c:pt idx="27">
                  <c:v>6.74</c:v>
                </c:pt>
                <c:pt idx="28">
                  <c:v>6.67</c:v>
                </c:pt>
                <c:pt idx="29">
                  <c:v>6.58</c:v>
                </c:pt>
                <c:pt idx="30">
                  <c:v>6.59</c:v>
                </c:pt>
                <c:pt idx="31">
                  <c:v>6.63</c:v>
                </c:pt>
                <c:pt idx="32">
                  <c:v>6.58</c:v>
                </c:pt>
                <c:pt idx="33">
                  <c:v>6.49</c:v>
                </c:pt>
                <c:pt idx="34">
                  <c:v>6.45</c:v>
                </c:pt>
                <c:pt idx="35">
                  <c:v>6.52</c:v>
                </c:pt>
                <c:pt idx="36">
                  <c:v>6.72</c:v>
                </c:pt>
                <c:pt idx="37">
                  <c:v>6.86</c:v>
                </c:pt>
                <c:pt idx="38">
                  <c:v>6.78</c:v>
                </c:pt>
                <c:pt idx="39">
                  <c:v>6.7</c:v>
                </c:pt>
                <c:pt idx="40">
                  <c:v>6.62</c:v>
                </c:pt>
                <c:pt idx="41">
                  <c:v>6.53</c:v>
                </c:pt>
                <c:pt idx="42">
                  <c:v>6.57</c:v>
                </c:pt>
                <c:pt idx="43">
                  <c:v>6.5</c:v>
                </c:pt>
                <c:pt idx="44">
                  <c:v>6.44</c:v>
                </c:pt>
                <c:pt idx="45">
                  <c:v>6.4</c:v>
                </c:pt>
                <c:pt idx="46">
                  <c:v>6.33</c:v>
                </c:pt>
                <c:pt idx="47">
                  <c:v>6.44</c:v>
                </c:pt>
                <c:pt idx="48">
                  <c:v>6.44</c:v>
                </c:pt>
                <c:pt idx="49">
                  <c:v>6.44</c:v>
                </c:pt>
                <c:pt idx="50">
                  <c:v>6.47</c:v>
                </c:pt>
                <c:pt idx="51">
                  <c:v>6.44</c:v>
                </c:pt>
                <c:pt idx="52">
                  <c:v>6.4</c:v>
                </c:pt>
                <c:pt idx="53">
                  <c:v>6.37</c:v>
                </c:pt>
                <c:pt idx="54">
                  <c:v>6.4</c:v>
                </c:pt>
                <c:pt idx="55">
                  <c:v>6.38</c:v>
                </c:pt>
                <c:pt idx="56">
                  <c:v>6.31</c:v>
                </c:pt>
                <c:pt idx="57">
                  <c:v>6.3</c:v>
                </c:pt>
                <c:pt idx="58">
                  <c:v>6.23</c:v>
                </c:pt>
                <c:pt idx="59">
                  <c:v>6.22</c:v>
                </c:pt>
                <c:pt idx="60">
                  <c:v>6.21</c:v>
                </c:pt>
                <c:pt idx="61">
                  <c:v>6.22</c:v>
                </c:pt>
                <c:pt idx="62">
                  <c:v>6.28</c:v>
                </c:pt>
                <c:pt idx="63">
                  <c:v>6.34</c:v>
                </c:pt>
                <c:pt idx="64">
                  <c:v>6.3</c:v>
                </c:pt>
                <c:pt idx="65">
                  <c:v>6.34</c:v>
                </c:pt>
                <c:pt idx="66">
                  <c:v>6.44</c:v>
                </c:pt>
                <c:pt idx="67">
                  <c:v>6.5</c:v>
                </c:pt>
                <c:pt idx="68">
                  <c:v>6.45</c:v>
                </c:pt>
                <c:pt idx="69">
                  <c:v>6.4</c:v>
                </c:pt>
                <c:pt idx="70">
                  <c:v>6.42</c:v>
                </c:pt>
                <c:pt idx="71">
                  <c:v>6.35</c:v>
                </c:pt>
                <c:pt idx="72">
                  <c:v>6.32</c:v>
                </c:pt>
                <c:pt idx="73">
                  <c:v>6.39</c:v>
                </c:pt>
                <c:pt idx="74">
                  <c:v>6.35</c:v>
                </c:pt>
                <c:pt idx="75">
                  <c:v>6.48</c:v>
                </c:pt>
                <c:pt idx="76">
                  <c:v>6.47</c:v>
                </c:pt>
                <c:pt idx="77">
                  <c:v>6.46</c:v>
                </c:pt>
                <c:pt idx="78">
                  <c:v>6.42</c:v>
                </c:pt>
                <c:pt idx="79">
                  <c:v>6.78</c:v>
                </c:pt>
                <c:pt idx="80">
                  <c:v>6.59</c:v>
                </c:pt>
                <c:pt idx="81">
                  <c:v>6.56</c:v>
                </c:pt>
                <c:pt idx="82">
                  <c:v>6.66</c:v>
                </c:pt>
                <c:pt idx="83">
                  <c:v>6.74</c:v>
                </c:pt>
                <c:pt idx="84">
                  <c:v>6.84</c:v>
                </c:pt>
                <c:pt idx="85">
                  <c:v>6.69</c:v>
                </c:pt>
                <c:pt idx="86">
                  <c:v>6.53</c:v>
                </c:pt>
                <c:pt idx="87">
                  <c:v>6.4</c:v>
                </c:pt>
                <c:pt idx="88">
                  <c:v>6.48</c:v>
                </c:pt>
                <c:pt idx="89">
                  <c:v>6.51</c:v>
                </c:pt>
                <c:pt idx="90">
                  <c:v>6.46</c:v>
                </c:pt>
                <c:pt idx="91">
                  <c:v>6.46</c:v>
                </c:pt>
                <c:pt idx="92">
                  <c:v>6.4</c:v>
                </c:pt>
                <c:pt idx="93">
                  <c:v>6.43</c:v>
                </c:pt>
                <c:pt idx="94">
                  <c:v>6.46</c:v>
                </c:pt>
                <c:pt idx="95">
                  <c:v>6.64</c:v>
                </c:pt>
                <c:pt idx="96">
                  <c:v>6.8</c:v>
                </c:pt>
                <c:pt idx="97">
                  <c:v>6.74</c:v>
                </c:pt>
                <c:pt idx="98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9E-4455-8CE1-03577EEEE418}"/>
            </c:ext>
          </c:extLst>
        </c:ser>
        <c:ser>
          <c:idx val="2"/>
          <c:order val="2"/>
          <c:tx>
            <c:strRef>
              <c:f>主頁面!$CG$2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主頁面!$CD$3:$CD$101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主頁面!$CG$3:$CG$101</c:f>
              <c:numCache>
                <c:formatCode>General</c:formatCode>
                <c:ptCount val="99"/>
                <c:pt idx="0">
                  <c:v>6.91</c:v>
                </c:pt>
                <c:pt idx="1">
                  <c:v>6.91</c:v>
                </c:pt>
                <c:pt idx="2">
                  <c:v>7.19</c:v>
                </c:pt>
                <c:pt idx="3">
                  <c:v>7.23</c:v>
                </c:pt>
                <c:pt idx="4">
                  <c:v>7.21</c:v>
                </c:pt>
                <c:pt idx="5">
                  <c:v>7.11</c:v>
                </c:pt>
                <c:pt idx="6">
                  <c:v>7.01</c:v>
                </c:pt>
                <c:pt idx="7">
                  <c:v>6.97</c:v>
                </c:pt>
                <c:pt idx="8">
                  <c:v>6.8</c:v>
                </c:pt>
                <c:pt idx="9">
                  <c:v>6.88</c:v>
                </c:pt>
                <c:pt idx="10">
                  <c:v>6.75</c:v>
                </c:pt>
                <c:pt idx="11">
                  <c:v>6.78</c:v>
                </c:pt>
                <c:pt idx="12">
                  <c:v>6.7</c:v>
                </c:pt>
                <c:pt idx="13">
                  <c:v>6.51</c:v>
                </c:pt>
                <c:pt idx="14">
                  <c:v>6.39</c:v>
                </c:pt>
                <c:pt idx="15">
                  <c:v>6.31</c:v>
                </c:pt>
                <c:pt idx="16">
                  <c:v>6.37</c:v>
                </c:pt>
                <c:pt idx="17">
                  <c:v>6.4</c:v>
                </c:pt>
                <c:pt idx="18">
                  <c:v>6.33</c:v>
                </c:pt>
                <c:pt idx="19">
                  <c:v>6.35</c:v>
                </c:pt>
                <c:pt idx="20">
                  <c:v>6.33</c:v>
                </c:pt>
                <c:pt idx="21">
                  <c:v>6.3</c:v>
                </c:pt>
                <c:pt idx="22">
                  <c:v>6.41</c:v>
                </c:pt>
                <c:pt idx="23">
                  <c:v>6.52</c:v>
                </c:pt>
                <c:pt idx="24">
                  <c:v>6.62</c:v>
                </c:pt>
                <c:pt idx="25">
                  <c:v>6.52</c:v>
                </c:pt>
                <c:pt idx="26">
                  <c:v>6.59</c:v>
                </c:pt>
                <c:pt idx="27">
                  <c:v>6.6</c:v>
                </c:pt>
                <c:pt idx="28">
                  <c:v>6.53</c:v>
                </c:pt>
                <c:pt idx="29">
                  <c:v>6.42</c:v>
                </c:pt>
                <c:pt idx="30">
                  <c:v>6.44</c:v>
                </c:pt>
                <c:pt idx="31">
                  <c:v>6.51</c:v>
                </c:pt>
                <c:pt idx="32">
                  <c:v>6.33</c:v>
                </c:pt>
                <c:pt idx="33">
                  <c:v>6.38</c:v>
                </c:pt>
                <c:pt idx="34">
                  <c:v>6.36</c:v>
                </c:pt>
                <c:pt idx="35">
                  <c:v>6.45</c:v>
                </c:pt>
                <c:pt idx="36">
                  <c:v>6.48</c:v>
                </c:pt>
                <c:pt idx="37">
                  <c:v>6.64</c:v>
                </c:pt>
                <c:pt idx="38">
                  <c:v>6.66</c:v>
                </c:pt>
                <c:pt idx="39">
                  <c:v>6.54</c:v>
                </c:pt>
                <c:pt idx="40">
                  <c:v>6.46</c:v>
                </c:pt>
                <c:pt idx="41">
                  <c:v>6.45</c:v>
                </c:pt>
                <c:pt idx="42">
                  <c:v>6.47</c:v>
                </c:pt>
                <c:pt idx="43">
                  <c:v>6.4</c:v>
                </c:pt>
                <c:pt idx="44">
                  <c:v>6.2</c:v>
                </c:pt>
                <c:pt idx="45">
                  <c:v>6.31</c:v>
                </c:pt>
                <c:pt idx="46">
                  <c:v>6.23</c:v>
                </c:pt>
                <c:pt idx="47">
                  <c:v>6.29</c:v>
                </c:pt>
                <c:pt idx="48">
                  <c:v>6.3</c:v>
                </c:pt>
                <c:pt idx="49">
                  <c:v>6.36</c:v>
                </c:pt>
                <c:pt idx="50">
                  <c:v>6.38</c:v>
                </c:pt>
                <c:pt idx="51">
                  <c:v>6.31</c:v>
                </c:pt>
                <c:pt idx="52">
                  <c:v>6.3</c:v>
                </c:pt>
                <c:pt idx="53">
                  <c:v>6.31</c:v>
                </c:pt>
                <c:pt idx="54">
                  <c:v>6.29</c:v>
                </c:pt>
                <c:pt idx="55">
                  <c:v>6.27</c:v>
                </c:pt>
                <c:pt idx="56">
                  <c:v>6.21</c:v>
                </c:pt>
                <c:pt idx="57">
                  <c:v>6.18</c:v>
                </c:pt>
                <c:pt idx="58">
                  <c:v>6.15</c:v>
                </c:pt>
                <c:pt idx="59">
                  <c:v>6.13</c:v>
                </c:pt>
                <c:pt idx="60">
                  <c:v>6.1</c:v>
                </c:pt>
                <c:pt idx="61">
                  <c:v>6.12</c:v>
                </c:pt>
                <c:pt idx="62">
                  <c:v>6.18</c:v>
                </c:pt>
                <c:pt idx="63">
                  <c:v>6.2</c:v>
                </c:pt>
                <c:pt idx="64">
                  <c:v>6.2</c:v>
                </c:pt>
                <c:pt idx="65">
                  <c:v>6.19</c:v>
                </c:pt>
                <c:pt idx="66">
                  <c:v>6.21</c:v>
                </c:pt>
                <c:pt idx="67">
                  <c:v>6.39</c:v>
                </c:pt>
                <c:pt idx="68">
                  <c:v>6.27</c:v>
                </c:pt>
                <c:pt idx="69">
                  <c:v>6.27</c:v>
                </c:pt>
                <c:pt idx="70">
                  <c:v>6.3</c:v>
                </c:pt>
                <c:pt idx="71">
                  <c:v>6.25</c:v>
                </c:pt>
                <c:pt idx="72">
                  <c:v>6.21</c:v>
                </c:pt>
                <c:pt idx="73">
                  <c:v>6.29</c:v>
                </c:pt>
                <c:pt idx="74">
                  <c:v>6.19</c:v>
                </c:pt>
                <c:pt idx="75">
                  <c:v>6.28</c:v>
                </c:pt>
                <c:pt idx="76">
                  <c:v>6.3</c:v>
                </c:pt>
                <c:pt idx="77">
                  <c:v>6.23</c:v>
                </c:pt>
                <c:pt idx="78">
                  <c:v>6.35</c:v>
                </c:pt>
                <c:pt idx="79">
                  <c:v>6.38</c:v>
                </c:pt>
                <c:pt idx="80">
                  <c:v>6.46</c:v>
                </c:pt>
                <c:pt idx="81">
                  <c:v>6.48</c:v>
                </c:pt>
                <c:pt idx="82">
                  <c:v>6.53</c:v>
                </c:pt>
                <c:pt idx="83">
                  <c:v>6.57</c:v>
                </c:pt>
                <c:pt idx="84">
                  <c:v>6.48</c:v>
                </c:pt>
                <c:pt idx="85">
                  <c:v>6.48</c:v>
                </c:pt>
                <c:pt idx="86">
                  <c:v>6.38</c:v>
                </c:pt>
                <c:pt idx="87">
                  <c:v>6.28</c:v>
                </c:pt>
                <c:pt idx="88">
                  <c:v>6.36</c:v>
                </c:pt>
                <c:pt idx="89">
                  <c:v>6.36</c:v>
                </c:pt>
                <c:pt idx="90">
                  <c:v>6.36</c:v>
                </c:pt>
                <c:pt idx="91">
                  <c:v>6.33</c:v>
                </c:pt>
                <c:pt idx="92">
                  <c:v>6.4</c:v>
                </c:pt>
                <c:pt idx="93">
                  <c:v>6.35</c:v>
                </c:pt>
                <c:pt idx="94">
                  <c:v>6.36</c:v>
                </c:pt>
                <c:pt idx="95">
                  <c:v>6.46</c:v>
                </c:pt>
                <c:pt idx="96">
                  <c:v>6.66</c:v>
                </c:pt>
                <c:pt idx="97">
                  <c:v>6.62</c:v>
                </c:pt>
                <c:pt idx="98">
                  <c:v>6.67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9E-4455-8CE1-03577EEEE418}"/>
            </c:ext>
          </c:extLst>
        </c:ser>
        <c:ser>
          <c:idx val="3"/>
          <c:order val="3"/>
          <c:tx>
            <c:strRef>
              <c:f>主頁面!$CH$2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主頁面!$CD$3:$CD$101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主頁面!$CH$3:$CH$101</c:f>
              <c:numCache>
                <c:formatCode>General</c:formatCode>
                <c:ptCount val="99"/>
                <c:pt idx="0">
                  <c:v>6.97</c:v>
                </c:pt>
                <c:pt idx="1">
                  <c:v>7.13</c:v>
                </c:pt>
                <c:pt idx="2">
                  <c:v>7.22</c:v>
                </c:pt>
                <c:pt idx="3">
                  <c:v>7.34</c:v>
                </c:pt>
                <c:pt idx="4">
                  <c:v>7.24</c:v>
                </c:pt>
                <c:pt idx="5">
                  <c:v>7.19</c:v>
                </c:pt>
                <c:pt idx="6">
                  <c:v>7.01</c:v>
                </c:pt>
                <c:pt idx="7">
                  <c:v>7.02</c:v>
                </c:pt>
                <c:pt idx="8">
                  <c:v>6.9</c:v>
                </c:pt>
                <c:pt idx="9">
                  <c:v>6.96</c:v>
                </c:pt>
                <c:pt idx="10">
                  <c:v>6.79</c:v>
                </c:pt>
                <c:pt idx="11">
                  <c:v>6.82</c:v>
                </c:pt>
                <c:pt idx="12">
                  <c:v>6.76</c:v>
                </c:pt>
                <c:pt idx="13">
                  <c:v>6.57</c:v>
                </c:pt>
                <c:pt idx="14">
                  <c:v>6.46</c:v>
                </c:pt>
                <c:pt idx="15">
                  <c:v>6.35</c:v>
                </c:pt>
                <c:pt idx="16">
                  <c:v>6.46</c:v>
                </c:pt>
                <c:pt idx="17">
                  <c:v>6.43</c:v>
                </c:pt>
                <c:pt idx="18">
                  <c:v>6.33</c:v>
                </c:pt>
                <c:pt idx="19">
                  <c:v>6.41</c:v>
                </c:pt>
                <c:pt idx="20">
                  <c:v>6.35</c:v>
                </c:pt>
                <c:pt idx="21">
                  <c:v>6.44</c:v>
                </c:pt>
                <c:pt idx="22">
                  <c:v>6.48</c:v>
                </c:pt>
                <c:pt idx="23">
                  <c:v>6.68</c:v>
                </c:pt>
                <c:pt idx="24">
                  <c:v>6.72</c:v>
                </c:pt>
                <c:pt idx="25">
                  <c:v>6.6</c:v>
                </c:pt>
                <c:pt idx="26">
                  <c:v>6.62</c:v>
                </c:pt>
                <c:pt idx="27">
                  <c:v>6.65</c:v>
                </c:pt>
                <c:pt idx="28">
                  <c:v>6.58</c:v>
                </c:pt>
                <c:pt idx="29">
                  <c:v>6.54</c:v>
                </c:pt>
                <c:pt idx="30">
                  <c:v>6.53</c:v>
                </c:pt>
                <c:pt idx="31">
                  <c:v>6.52</c:v>
                </c:pt>
                <c:pt idx="32">
                  <c:v>6.37</c:v>
                </c:pt>
                <c:pt idx="33">
                  <c:v>6.42</c:v>
                </c:pt>
                <c:pt idx="34">
                  <c:v>6.42</c:v>
                </c:pt>
                <c:pt idx="35">
                  <c:v>6.46</c:v>
                </c:pt>
                <c:pt idx="36">
                  <c:v>6.71</c:v>
                </c:pt>
                <c:pt idx="37">
                  <c:v>6.82</c:v>
                </c:pt>
                <c:pt idx="38">
                  <c:v>6.76</c:v>
                </c:pt>
                <c:pt idx="39">
                  <c:v>6.59</c:v>
                </c:pt>
                <c:pt idx="40">
                  <c:v>6.5</c:v>
                </c:pt>
                <c:pt idx="41">
                  <c:v>6.49</c:v>
                </c:pt>
                <c:pt idx="42">
                  <c:v>6.48</c:v>
                </c:pt>
                <c:pt idx="43">
                  <c:v>6.44</c:v>
                </c:pt>
                <c:pt idx="44">
                  <c:v>6.36</c:v>
                </c:pt>
                <c:pt idx="45">
                  <c:v>6.32</c:v>
                </c:pt>
                <c:pt idx="46">
                  <c:v>6.27</c:v>
                </c:pt>
                <c:pt idx="47">
                  <c:v>6.3</c:v>
                </c:pt>
                <c:pt idx="48">
                  <c:v>6.42</c:v>
                </c:pt>
                <c:pt idx="49">
                  <c:v>6.42</c:v>
                </c:pt>
                <c:pt idx="50">
                  <c:v>6.4</c:v>
                </c:pt>
                <c:pt idx="51">
                  <c:v>6.43</c:v>
                </c:pt>
                <c:pt idx="52">
                  <c:v>6.34</c:v>
                </c:pt>
                <c:pt idx="53">
                  <c:v>6.34</c:v>
                </c:pt>
                <c:pt idx="54">
                  <c:v>6.39</c:v>
                </c:pt>
                <c:pt idx="55">
                  <c:v>6.31</c:v>
                </c:pt>
                <c:pt idx="56">
                  <c:v>6.28</c:v>
                </c:pt>
                <c:pt idx="57">
                  <c:v>6.22</c:v>
                </c:pt>
                <c:pt idx="58">
                  <c:v>6.2</c:v>
                </c:pt>
                <c:pt idx="59">
                  <c:v>6.18</c:v>
                </c:pt>
                <c:pt idx="60">
                  <c:v>6.15</c:v>
                </c:pt>
                <c:pt idx="61">
                  <c:v>6.21</c:v>
                </c:pt>
                <c:pt idx="62">
                  <c:v>6.18</c:v>
                </c:pt>
                <c:pt idx="63">
                  <c:v>6.27</c:v>
                </c:pt>
                <c:pt idx="64">
                  <c:v>6.27</c:v>
                </c:pt>
                <c:pt idx="65">
                  <c:v>6.21</c:v>
                </c:pt>
                <c:pt idx="66">
                  <c:v>6.39</c:v>
                </c:pt>
                <c:pt idx="67">
                  <c:v>6.42</c:v>
                </c:pt>
                <c:pt idx="68">
                  <c:v>6.32</c:v>
                </c:pt>
                <c:pt idx="69">
                  <c:v>6.3</c:v>
                </c:pt>
                <c:pt idx="70">
                  <c:v>6.32</c:v>
                </c:pt>
                <c:pt idx="71">
                  <c:v>6.28</c:v>
                </c:pt>
                <c:pt idx="72">
                  <c:v>6.28</c:v>
                </c:pt>
                <c:pt idx="73">
                  <c:v>6.31</c:v>
                </c:pt>
                <c:pt idx="74">
                  <c:v>6.26</c:v>
                </c:pt>
                <c:pt idx="75">
                  <c:v>6.41</c:v>
                </c:pt>
                <c:pt idx="76">
                  <c:v>6.38</c:v>
                </c:pt>
                <c:pt idx="77">
                  <c:v>6.45</c:v>
                </c:pt>
                <c:pt idx="78">
                  <c:v>6.41</c:v>
                </c:pt>
                <c:pt idx="79">
                  <c:v>6.62</c:v>
                </c:pt>
                <c:pt idx="80">
                  <c:v>6.5</c:v>
                </c:pt>
                <c:pt idx="81">
                  <c:v>6.5</c:v>
                </c:pt>
                <c:pt idx="82">
                  <c:v>6.59</c:v>
                </c:pt>
                <c:pt idx="83">
                  <c:v>6.69</c:v>
                </c:pt>
                <c:pt idx="84">
                  <c:v>6.48</c:v>
                </c:pt>
                <c:pt idx="85">
                  <c:v>6.54</c:v>
                </c:pt>
                <c:pt idx="86">
                  <c:v>6.4</c:v>
                </c:pt>
                <c:pt idx="87">
                  <c:v>6.39</c:v>
                </c:pt>
                <c:pt idx="88">
                  <c:v>6.42</c:v>
                </c:pt>
                <c:pt idx="89">
                  <c:v>6.48</c:v>
                </c:pt>
                <c:pt idx="90">
                  <c:v>6.38</c:v>
                </c:pt>
                <c:pt idx="91">
                  <c:v>6.4</c:v>
                </c:pt>
                <c:pt idx="92">
                  <c:v>6.4</c:v>
                </c:pt>
                <c:pt idx="93">
                  <c:v>6.41</c:v>
                </c:pt>
                <c:pt idx="94">
                  <c:v>6.42</c:v>
                </c:pt>
                <c:pt idx="95">
                  <c:v>6.63</c:v>
                </c:pt>
                <c:pt idx="96">
                  <c:v>6.77</c:v>
                </c:pt>
                <c:pt idx="97">
                  <c:v>6.7</c:v>
                </c:pt>
                <c:pt idx="98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9E-4455-8CE1-03577EEEE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7847152"/>
        <c:axId val="527844528"/>
      </c:stockChart>
      <c:dateAx>
        <c:axId val="527847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4528"/>
        <c:crosses val="autoZero"/>
        <c:auto val="1"/>
        <c:lblOffset val="100"/>
        <c:baseTimeUnit val="days"/>
      </c:dateAx>
      <c:valAx>
        <c:axId val="527844528"/>
        <c:scaling>
          <c:orientation val="minMax"/>
          <c:max val="7.5"/>
          <c:min val="6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主頁面!$CM$1</c:f>
          <c:strCache>
            <c:ptCount val="1"/>
            <c:pt idx="0">
              <c:v>2233 中國西部水泥有限公司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主頁面!$CN$2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主頁面!$CM$3:$CM$102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主頁面!$CN$3:$CN$102</c:f>
              <c:numCache>
                <c:formatCode>General</c:formatCode>
                <c:ptCount val="100"/>
                <c:pt idx="0">
                  <c:v>1.1499999999999999</c:v>
                </c:pt>
                <c:pt idx="1">
                  <c:v>1.1599999999999999</c:v>
                </c:pt>
                <c:pt idx="2">
                  <c:v>1.1499999999999999</c:v>
                </c:pt>
                <c:pt idx="3">
                  <c:v>1.1399999999999999</c:v>
                </c:pt>
                <c:pt idx="4">
                  <c:v>1.17</c:v>
                </c:pt>
                <c:pt idx="5">
                  <c:v>1.1399999999999999</c:v>
                </c:pt>
                <c:pt idx="6">
                  <c:v>1.1399999999999999</c:v>
                </c:pt>
                <c:pt idx="7">
                  <c:v>1.1499999999999999</c:v>
                </c:pt>
                <c:pt idx="8">
                  <c:v>1.17</c:v>
                </c:pt>
                <c:pt idx="9">
                  <c:v>1.19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1.17</c:v>
                </c:pt>
                <c:pt idx="13">
                  <c:v>1.1599999999999999</c:v>
                </c:pt>
                <c:pt idx="14">
                  <c:v>1.17</c:v>
                </c:pt>
                <c:pt idx="15">
                  <c:v>1.1599999999999999</c:v>
                </c:pt>
                <c:pt idx="16">
                  <c:v>1.1399999999999999</c:v>
                </c:pt>
                <c:pt idx="17">
                  <c:v>1.1100000000000001</c:v>
                </c:pt>
                <c:pt idx="18">
                  <c:v>1.1100000000000001</c:v>
                </c:pt>
                <c:pt idx="19">
                  <c:v>1.1100000000000001</c:v>
                </c:pt>
                <c:pt idx="20">
                  <c:v>1.1299999999999999</c:v>
                </c:pt>
                <c:pt idx="21">
                  <c:v>1.1100000000000001</c:v>
                </c:pt>
                <c:pt idx="22">
                  <c:v>1.1000000000000001</c:v>
                </c:pt>
                <c:pt idx="23">
                  <c:v>1.1200000000000001</c:v>
                </c:pt>
                <c:pt idx="24">
                  <c:v>1.0900000000000001</c:v>
                </c:pt>
                <c:pt idx="25">
                  <c:v>1.1100000000000001</c:v>
                </c:pt>
                <c:pt idx="26">
                  <c:v>1.1299999999999999</c:v>
                </c:pt>
                <c:pt idx="27">
                  <c:v>1.1100000000000001</c:v>
                </c:pt>
                <c:pt idx="28">
                  <c:v>1.1200000000000001</c:v>
                </c:pt>
                <c:pt idx="29">
                  <c:v>1.1299999999999999</c:v>
                </c:pt>
                <c:pt idx="30">
                  <c:v>1.1200000000000001</c:v>
                </c:pt>
                <c:pt idx="31">
                  <c:v>1.1299999999999999</c:v>
                </c:pt>
                <c:pt idx="32">
                  <c:v>1.1499999999999999</c:v>
                </c:pt>
                <c:pt idx="33">
                  <c:v>1.1399999999999999</c:v>
                </c:pt>
                <c:pt idx="34">
                  <c:v>1.1399999999999999</c:v>
                </c:pt>
                <c:pt idx="35">
                  <c:v>1.1499999999999999</c:v>
                </c:pt>
                <c:pt idx="36">
                  <c:v>1.1399999999999999</c:v>
                </c:pt>
                <c:pt idx="37">
                  <c:v>1.1299999999999999</c:v>
                </c:pt>
                <c:pt idx="38">
                  <c:v>1.1299999999999999</c:v>
                </c:pt>
                <c:pt idx="39">
                  <c:v>1.18</c:v>
                </c:pt>
                <c:pt idx="40">
                  <c:v>1.21</c:v>
                </c:pt>
                <c:pt idx="41">
                  <c:v>1.2</c:v>
                </c:pt>
                <c:pt idx="42">
                  <c:v>1.17</c:v>
                </c:pt>
                <c:pt idx="43">
                  <c:v>1.19</c:v>
                </c:pt>
                <c:pt idx="44">
                  <c:v>1.1599999999999999</c:v>
                </c:pt>
                <c:pt idx="45">
                  <c:v>1.1599999999999999</c:v>
                </c:pt>
                <c:pt idx="46">
                  <c:v>1.1299999999999999</c:v>
                </c:pt>
                <c:pt idx="47">
                  <c:v>1.1399999999999999</c:v>
                </c:pt>
                <c:pt idx="48">
                  <c:v>1.1499999999999999</c:v>
                </c:pt>
                <c:pt idx="49">
                  <c:v>1.17</c:v>
                </c:pt>
                <c:pt idx="50">
                  <c:v>1.1599999999999999</c:v>
                </c:pt>
                <c:pt idx="51">
                  <c:v>1.1499999999999999</c:v>
                </c:pt>
                <c:pt idx="52">
                  <c:v>1.1499999999999999</c:v>
                </c:pt>
                <c:pt idx="53">
                  <c:v>1.1599999999999999</c:v>
                </c:pt>
                <c:pt idx="54">
                  <c:v>1.1499999999999999</c:v>
                </c:pt>
                <c:pt idx="55">
                  <c:v>1.1599999999999999</c:v>
                </c:pt>
                <c:pt idx="56">
                  <c:v>1.2</c:v>
                </c:pt>
                <c:pt idx="57">
                  <c:v>1.18</c:v>
                </c:pt>
                <c:pt idx="58">
                  <c:v>1.17</c:v>
                </c:pt>
                <c:pt idx="59">
                  <c:v>1.1599999999999999</c:v>
                </c:pt>
                <c:pt idx="60">
                  <c:v>1.1599999999999999</c:v>
                </c:pt>
                <c:pt idx="61">
                  <c:v>1.1599999999999999</c:v>
                </c:pt>
                <c:pt idx="62">
                  <c:v>1.1599999999999999</c:v>
                </c:pt>
                <c:pt idx="63">
                  <c:v>1.17</c:v>
                </c:pt>
                <c:pt idx="64">
                  <c:v>1.1599999999999999</c:v>
                </c:pt>
                <c:pt idx="65">
                  <c:v>1.1499999999999999</c:v>
                </c:pt>
                <c:pt idx="66">
                  <c:v>1.1399999999999999</c:v>
                </c:pt>
                <c:pt idx="67">
                  <c:v>1.1200000000000001</c:v>
                </c:pt>
                <c:pt idx="68">
                  <c:v>1.1299999999999999</c:v>
                </c:pt>
                <c:pt idx="69">
                  <c:v>1.1299999999999999</c:v>
                </c:pt>
                <c:pt idx="70">
                  <c:v>1.1200000000000001</c:v>
                </c:pt>
                <c:pt idx="71">
                  <c:v>1.1100000000000001</c:v>
                </c:pt>
                <c:pt idx="72">
                  <c:v>1.1200000000000001</c:v>
                </c:pt>
                <c:pt idx="73">
                  <c:v>1.1100000000000001</c:v>
                </c:pt>
                <c:pt idx="74">
                  <c:v>1.1200000000000001</c:v>
                </c:pt>
                <c:pt idx="75">
                  <c:v>1.1399999999999999</c:v>
                </c:pt>
                <c:pt idx="76">
                  <c:v>1.1000000000000001</c:v>
                </c:pt>
                <c:pt idx="77">
                  <c:v>1.1200000000000001</c:v>
                </c:pt>
                <c:pt idx="78">
                  <c:v>1.1299999999999999</c:v>
                </c:pt>
                <c:pt idx="79">
                  <c:v>1.1200000000000001</c:v>
                </c:pt>
                <c:pt idx="80">
                  <c:v>1.1399999999999999</c:v>
                </c:pt>
                <c:pt idx="81">
                  <c:v>1.1499999999999999</c:v>
                </c:pt>
                <c:pt idx="82">
                  <c:v>1.1599999999999999</c:v>
                </c:pt>
                <c:pt idx="83">
                  <c:v>1.17</c:v>
                </c:pt>
                <c:pt idx="84">
                  <c:v>1.1399999999999999</c:v>
                </c:pt>
                <c:pt idx="85">
                  <c:v>1.1399999999999999</c:v>
                </c:pt>
                <c:pt idx="86">
                  <c:v>1.1299999999999999</c:v>
                </c:pt>
                <c:pt idx="87">
                  <c:v>1.1599999999999999</c:v>
                </c:pt>
                <c:pt idx="88">
                  <c:v>1.1200000000000001</c:v>
                </c:pt>
                <c:pt idx="89">
                  <c:v>1.0900000000000001</c:v>
                </c:pt>
                <c:pt idx="90">
                  <c:v>1.03</c:v>
                </c:pt>
                <c:pt idx="91">
                  <c:v>1.06</c:v>
                </c:pt>
                <c:pt idx="92">
                  <c:v>1.1299999999999999</c:v>
                </c:pt>
                <c:pt idx="93">
                  <c:v>1.1200000000000001</c:v>
                </c:pt>
                <c:pt idx="94">
                  <c:v>1.1299999999999999</c:v>
                </c:pt>
                <c:pt idx="95">
                  <c:v>1.1499999999999999</c:v>
                </c:pt>
                <c:pt idx="96">
                  <c:v>1.1399999999999999</c:v>
                </c:pt>
                <c:pt idx="97">
                  <c:v>1.1200000000000001</c:v>
                </c:pt>
                <c:pt idx="98">
                  <c:v>1.1299999999999999</c:v>
                </c:pt>
                <c:pt idx="99">
                  <c:v>1.1299999999999999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0D-464F-B2C9-60ADB9EA98A3}"/>
            </c:ext>
          </c:extLst>
        </c:ser>
        <c:ser>
          <c:idx val="1"/>
          <c:order val="1"/>
          <c:tx>
            <c:strRef>
              <c:f>主頁面!$CO$2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主頁面!$CM$3:$CM$102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主頁面!$CO$3:$CO$102</c:f>
              <c:numCache>
                <c:formatCode>General</c:formatCode>
                <c:ptCount val="100"/>
                <c:pt idx="0">
                  <c:v>1.1599999999999999</c:v>
                </c:pt>
                <c:pt idx="1">
                  <c:v>1.17</c:v>
                </c:pt>
                <c:pt idx="2">
                  <c:v>1.17</c:v>
                </c:pt>
                <c:pt idx="3">
                  <c:v>1.1599999999999999</c:v>
                </c:pt>
                <c:pt idx="4">
                  <c:v>1.17</c:v>
                </c:pt>
                <c:pt idx="5">
                  <c:v>1.1499999999999999</c:v>
                </c:pt>
                <c:pt idx="6">
                  <c:v>1.1499999999999999</c:v>
                </c:pt>
                <c:pt idx="7">
                  <c:v>1.18</c:v>
                </c:pt>
                <c:pt idx="8">
                  <c:v>1.22</c:v>
                </c:pt>
                <c:pt idx="9">
                  <c:v>1.2</c:v>
                </c:pt>
                <c:pt idx="10">
                  <c:v>1.19</c:v>
                </c:pt>
                <c:pt idx="11">
                  <c:v>1.2</c:v>
                </c:pt>
                <c:pt idx="12">
                  <c:v>1.17</c:v>
                </c:pt>
                <c:pt idx="13">
                  <c:v>1.18</c:v>
                </c:pt>
                <c:pt idx="14">
                  <c:v>1.18</c:v>
                </c:pt>
                <c:pt idx="15">
                  <c:v>1.1599999999999999</c:v>
                </c:pt>
                <c:pt idx="16">
                  <c:v>1.1399999999999999</c:v>
                </c:pt>
                <c:pt idx="17">
                  <c:v>1.1299999999999999</c:v>
                </c:pt>
                <c:pt idx="18">
                  <c:v>1.1299999999999999</c:v>
                </c:pt>
                <c:pt idx="19">
                  <c:v>1.1299999999999999</c:v>
                </c:pt>
                <c:pt idx="20">
                  <c:v>1.1299999999999999</c:v>
                </c:pt>
                <c:pt idx="21">
                  <c:v>1.1100000000000001</c:v>
                </c:pt>
                <c:pt idx="22">
                  <c:v>1.1200000000000001</c:v>
                </c:pt>
                <c:pt idx="23">
                  <c:v>1.1200000000000001</c:v>
                </c:pt>
                <c:pt idx="24">
                  <c:v>1.1200000000000001</c:v>
                </c:pt>
                <c:pt idx="25">
                  <c:v>1.1399999999999999</c:v>
                </c:pt>
                <c:pt idx="26">
                  <c:v>1.1399999999999999</c:v>
                </c:pt>
                <c:pt idx="27">
                  <c:v>1.1299999999999999</c:v>
                </c:pt>
                <c:pt idx="28">
                  <c:v>1.1299999999999999</c:v>
                </c:pt>
                <c:pt idx="29">
                  <c:v>1.1299999999999999</c:v>
                </c:pt>
                <c:pt idx="30">
                  <c:v>1.1499999999999999</c:v>
                </c:pt>
                <c:pt idx="31">
                  <c:v>1.1599999999999999</c:v>
                </c:pt>
                <c:pt idx="32">
                  <c:v>1.1599999999999999</c:v>
                </c:pt>
                <c:pt idx="33">
                  <c:v>1.1599999999999999</c:v>
                </c:pt>
                <c:pt idx="34">
                  <c:v>1.1499999999999999</c:v>
                </c:pt>
                <c:pt idx="35">
                  <c:v>1.1599999999999999</c:v>
                </c:pt>
                <c:pt idx="36">
                  <c:v>1.1499999999999999</c:v>
                </c:pt>
                <c:pt idx="37">
                  <c:v>1.1499999999999999</c:v>
                </c:pt>
                <c:pt idx="38">
                  <c:v>1.18</c:v>
                </c:pt>
                <c:pt idx="39">
                  <c:v>1.22</c:v>
                </c:pt>
                <c:pt idx="40">
                  <c:v>1.22</c:v>
                </c:pt>
                <c:pt idx="41">
                  <c:v>1.21</c:v>
                </c:pt>
                <c:pt idx="42">
                  <c:v>1.19</c:v>
                </c:pt>
                <c:pt idx="43">
                  <c:v>1.19</c:v>
                </c:pt>
                <c:pt idx="44">
                  <c:v>1.17</c:v>
                </c:pt>
                <c:pt idx="45">
                  <c:v>1.1599999999999999</c:v>
                </c:pt>
                <c:pt idx="46">
                  <c:v>1.1499999999999999</c:v>
                </c:pt>
                <c:pt idx="47">
                  <c:v>1.1599999999999999</c:v>
                </c:pt>
                <c:pt idx="48">
                  <c:v>1.19</c:v>
                </c:pt>
                <c:pt idx="49">
                  <c:v>1.17</c:v>
                </c:pt>
                <c:pt idx="50">
                  <c:v>1.17</c:v>
                </c:pt>
                <c:pt idx="51">
                  <c:v>1.17</c:v>
                </c:pt>
                <c:pt idx="52">
                  <c:v>1.1599999999999999</c:v>
                </c:pt>
                <c:pt idx="53">
                  <c:v>1.1599999999999999</c:v>
                </c:pt>
                <c:pt idx="54">
                  <c:v>1.17</c:v>
                </c:pt>
                <c:pt idx="55">
                  <c:v>1.21</c:v>
                </c:pt>
                <c:pt idx="56">
                  <c:v>1.2</c:v>
                </c:pt>
                <c:pt idx="57">
                  <c:v>1.18</c:v>
                </c:pt>
                <c:pt idx="58">
                  <c:v>1.18</c:v>
                </c:pt>
                <c:pt idx="59">
                  <c:v>1.17</c:v>
                </c:pt>
                <c:pt idx="60">
                  <c:v>1.17</c:v>
                </c:pt>
                <c:pt idx="61">
                  <c:v>1.18</c:v>
                </c:pt>
                <c:pt idx="62">
                  <c:v>1.18</c:v>
                </c:pt>
                <c:pt idx="63">
                  <c:v>1.17</c:v>
                </c:pt>
                <c:pt idx="64">
                  <c:v>1.17</c:v>
                </c:pt>
                <c:pt idx="65">
                  <c:v>1.1599999999999999</c:v>
                </c:pt>
                <c:pt idx="66">
                  <c:v>1.1499999999999999</c:v>
                </c:pt>
                <c:pt idx="67">
                  <c:v>1.1299999999999999</c:v>
                </c:pt>
                <c:pt idx="68">
                  <c:v>1.1399999999999999</c:v>
                </c:pt>
                <c:pt idx="69">
                  <c:v>1.1399999999999999</c:v>
                </c:pt>
                <c:pt idx="70">
                  <c:v>1.1299999999999999</c:v>
                </c:pt>
                <c:pt idx="71">
                  <c:v>1.1200000000000001</c:v>
                </c:pt>
                <c:pt idx="72">
                  <c:v>1.1299999999999999</c:v>
                </c:pt>
                <c:pt idx="73">
                  <c:v>1.1299999999999999</c:v>
                </c:pt>
                <c:pt idx="74">
                  <c:v>1.1499999999999999</c:v>
                </c:pt>
                <c:pt idx="75">
                  <c:v>1.1599999999999999</c:v>
                </c:pt>
                <c:pt idx="76">
                  <c:v>1.1399999999999999</c:v>
                </c:pt>
                <c:pt idx="77">
                  <c:v>1.1499999999999999</c:v>
                </c:pt>
                <c:pt idx="78">
                  <c:v>1.1399999999999999</c:v>
                </c:pt>
                <c:pt idx="79">
                  <c:v>1.1399999999999999</c:v>
                </c:pt>
                <c:pt idx="80">
                  <c:v>1.1499999999999999</c:v>
                </c:pt>
                <c:pt idx="81">
                  <c:v>1.1599999999999999</c:v>
                </c:pt>
                <c:pt idx="82">
                  <c:v>1.17</c:v>
                </c:pt>
                <c:pt idx="83">
                  <c:v>1.17</c:v>
                </c:pt>
                <c:pt idx="84">
                  <c:v>1.1499999999999999</c:v>
                </c:pt>
                <c:pt idx="85">
                  <c:v>1.1399999999999999</c:v>
                </c:pt>
                <c:pt idx="86">
                  <c:v>1.17</c:v>
                </c:pt>
                <c:pt idx="87">
                  <c:v>1.1599999999999999</c:v>
                </c:pt>
                <c:pt idx="88">
                  <c:v>1.1200000000000001</c:v>
                </c:pt>
                <c:pt idx="89">
                  <c:v>1.0900000000000001</c:v>
                </c:pt>
                <c:pt idx="90">
                  <c:v>1.06</c:v>
                </c:pt>
                <c:pt idx="91">
                  <c:v>1.1200000000000001</c:v>
                </c:pt>
                <c:pt idx="92">
                  <c:v>1.1399999999999999</c:v>
                </c:pt>
                <c:pt idx="93">
                  <c:v>1.1200000000000001</c:v>
                </c:pt>
                <c:pt idx="94">
                  <c:v>1.1399999999999999</c:v>
                </c:pt>
                <c:pt idx="95">
                  <c:v>1.1499999999999999</c:v>
                </c:pt>
                <c:pt idx="96">
                  <c:v>1.1499999999999999</c:v>
                </c:pt>
                <c:pt idx="97">
                  <c:v>1.1399999999999999</c:v>
                </c:pt>
                <c:pt idx="98">
                  <c:v>1.1399999999999999</c:v>
                </c:pt>
                <c:pt idx="99">
                  <c:v>1.1399999999999999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0D-464F-B2C9-60ADB9EA98A3}"/>
            </c:ext>
          </c:extLst>
        </c:ser>
        <c:ser>
          <c:idx val="2"/>
          <c:order val="2"/>
          <c:tx>
            <c:strRef>
              <c:f>主頁面!$CP$2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主頁面!$CM$3:$CM$102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主頁面!$CP$3:$CP$102</c:f>
              <c:numCache>
                <c:formatCode>General</c:formatCode>
                <c:ptCount val="100"/>
                <c:pt idx="0">
                  <c:v>1.1200000000000001</c:v>
                </c:pt>
                <c:pt idx="1">
                  <c:v>1.1499999999999999</c:v>
                </c:pt>
                <c:pt idx="2">
                  <c:v>1.1299999999999999</c:v>
                </c:pt>
                <c:pt idx="3">
                  <c:v>1.1299999999999999</c:v>
                </c:pt>
                <c:pt idx="4">
                  <c:v>1.1399999999999999</c:v>
                </c:pt>
                <c:pt idx="5">
                  <c:v>1.1200000000000001</c:v>
                </c:pt>
                <c:pt idx="6">
                  <c:v>1.1100000000000001</c:v>
                </c:pt>
                <c:pt idx="7">
                  <c:v>1.1499999999999999</c:v>
                </c:pt>
                <c:pt idx="8">
                  <c:v>1.17</c:v>
                </c:pt>
                <c:pt idx="9">
                  <c:v>1.1299999999999999</c:v>
                </c:pt>
                <c:pt idx="10">
                  <c:v>1.1399999999999999</c:v>
                </c:pt>
                <c:pt idx="11">
                  <c:v>1.1599999999999999</c:v>
                </c:pt>
                <c:pt idx="12">
                  <c:v>1.1399999999999999</c:v>
                </c:pt>
                <c:pt idx="13">
                  <c:v>1.1399999999999999</c:v>
                </c:pt>
                <c:pt idx="14">
                  <c:v>1.1499999999999999</c:v>
                </c:pt>
                <c:pt idx="15">
                  <c:v>1.1299999999999999</c:v>
                </c:pt>
                <c:pt idx="16">
                  <c:v>1.0900000000000001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1.08</c:v>
                </c:pt>
                <c:pt idx="22">
                  <c:v>1.1000000000000001</c:v>
                </c:pt>
                <c:pt idx="23">
                  <c:v>1.08</c:v>
                </c:pt>
                <c:pt idx="24">
                  <c:v>1.0900000000000001</c:v>
                </c:pt>
                <c:pt idx="25">
                  <c:v>1.1100000000000001</c:v>
                </c:pt>
                <c:pt idx="26">
                  <c:v>1.1100000000000001</c:v>
                </c:pt>
                <c:pt idx="27">
                  <c:v>1.1100000000000001</c:v>
                </c:pt>
                <c:pt idx="28">
                  <c:v>1.1000000000000001</c:v>
                </c:pt>
                <c:pt idx="29">
                  <c:v>1.1100000000000001</c:v>
                </c:pt>
                <c:pt idx="30">
                  <c:v>1.1100000000000001</c:v>
                </c:pt>
                <c:pt idx="31">
                  <c:v>1.1200000000000001</c:v>
                </c:pt>
                <c:pt idx="32">
                  <c:v>1.1399999999999999</c:v>
                </c:pt>
                <c:pt idx="33">
                  <c:v>1.1299999999999999</c:v>
                </c:pt>
                <c:pt idx="34">
                  <c:v>1.1299999999999999</c:v>
                </c:pt>
                <c:pt idx="35">
                  <c:v>1.1399999999999999</c:v>
                </c:pt>
                <c:pt idx="36">
                  <c:v>1.1200000000000001</c:v>
                </c:pt>
                <c:pt idx="37">
                  <c:v>1.1299999999999999</c:v>
                </c:pt>
                <c:pt idx="38">
                  <c:v>1.1299999999999999</c:v>
                </c:pt>
                <c:pt idx="39">
                  <c:v>1.17</c:v>
                </c:pt>
                <c:pt idx="40">
                  <c:v>1.18</c:v>
                </c:pt>
                <c:pt idx="41">
                  <c:v>1.17</c:v>
                </c:pt>
                <c:pt idx="42">
                  <c:v>1.1599999999999999</c:v>
                </c:pt>
                <c:pt idx="43">
                  <c:v>1.17</c:v>
                </c:pt>
                <c:pt idx="44">
                  <c:v>1.1499999999999999</c:v>
                </c:pt>
                <c:pt idx="45">
                  <c:v>1.1299999999999999</c:v>
                </c:pt>
                <c:pt idx="46">
                  <c:v>1.1299999999999999</c:v>
                </c:pt>
                <c:pt idx="47">
                  <c:v>1.1399999999999999</c:v>
                </c:pt>
                <c:pt idx="48">
                  <c:v>1.1399999999999999</c:v>
                </c:pt>
                <c:pt idx="49">
                  <c:v>1.1499999999999999</c:v>
                </c:pt>
                <c:pt idx="50">
                  <c:v>1.1399999999999999</c:v>
                </c:pt>
                <c:pt idx="51">
                  <c:v>1.1399999999999999</c:v>
                </c:pt>
                <c:pt idx="52">
                  <c:v>1.1399999999999999</c:v>
                </c:pt>
                <c:pt idx="53">
                  <c:v>1.1399999999999999</c:v>
                </c:pt>
                <c:pt idx="54">
                  <c:v>1.1499999999999999</c:v>
                </c:pt>
                <c:pt idx="55">
                  <c:v>1.1499999999999999</c:v>
                </c:pt>
                <c:pt idx="56">
                  <c:v>1.1599999999999999</c:v>
                </c:pt>
                <c:pt idx="57">
                  <c:v>1.1499999999999999</c:v>
                </c:pt>
                <c:pt idx="58">
                  <c:v>1.1599999999999999</c:v>
                </c:pt>
                <c:pt idx="59">
                  <c:v>1.1499999999999999</c:v>
                </c:pt>
                <c:pt idx="60">
                  <c:v>1.1499999999999999</c:v>
                </c:pt>
                <c:pt idx="61">
                  <c:v>1.1499999999999999</c:v>
                </c:pt>
                <c:pt idx="62">
                  <c:v>1.1499999999999999</c:v>
                </c:pt>
                <c:pt idx="63">
                  <c:v>1.1499999999999999</c:v>
                </c:pt>
                <c:pt idx="64">
                  <c:v>1.1399999999999999</c:v>
                </c:pt>
                <c:pt idx="65">
                  <c:v>1.1299999999999999</c:v>
                </c:pt>
                <c:pt idx="66">
                  <c:v>1.1100000000000001</c:v>
                </c:pt>
                <c:pt idx="67">
                  <c:v>1.1100000000000001</c:v>
                </c:pt>
                <c:pt idx="68">
                  <c:v>1.1200000000000001</c:v>
                </c:pt>
                <c:pt idx="69">
                  <c:v>1.1200000000000001</c:v>
                </c:pt>
                <c:pt idx="70">
                  <c:v>1.1100000000000001</c:v>
                </c:pt>
                <c:pt idx="71">
                  <c:v>1.1000000000000001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1.1000000000000001</c:v>
                </c:pt>
                <c:pt idx="77">
                  <c:v>1.1100000000000001</c:v>
                </c:pt>
                <c:pt idx="78">
                  <c:v>1.1200000000000001</c:v>
                </c:pt>
                <c:pt idx="79">
                  <c:v>1.1200000000000001</c:v>
                </c:pt>
                <c:pt idx="80">
                  <c:v>1.1299999999999999</c:v>
                </c:pt>
                <c:pt idx="81">
                  <c:v>1.1399999999999999</c:v>
                </c:pt>
                <c:pt idx="82">
                  <c:v>1.1499999999999999</c:v>
                </c:pt>
                <c:pt idx="83">
                  <c:v>1.1399999999999999</c:v>
                </c:pt>
                <c:pt idx="84">
                  <c:v>1.1299999999999999</c:v>
                </c:pt>
                <c:pt idx="85">
                  <c:v>1.1200000000000001</c:v>
                </c:pt>
                <c:pt idx="86">
                  <c:v>1.1299999999999999</c:v>
                </c:pt>
                <c:pt idx="87">
                  <c:v>1.1100000000000001</c:v>
                </c:pt>
                <c:pt idx="88">
                  <c:v>1.0900000000000001</c:v>
                </c:pt>
                <c:pt idx="89">
                  <c:v>1.03</c:v>
                </c:pt>
                <c:pt idx="90">
                  <c:v>1.03</c:v>
                </c:pt>
                <c:pt idx="91">
                  <c:v>1.06</c:v>
                </c:pt>
                <c:pt idx="92">
                  <c:v>1.1200000000000001</c:v>
                </c:pt>
                <c:pt idx="93">
                  <c:v>1.1200000000000001</c:v>
                </c:pt>
                <c:pt idx="94">
                  <c:v>1.1299999999999999</c:v>
                </c:pt>
                <c:pt idx="95">
                  <c:v>1.1299999999999999</c:v>
                </c:pt>
                <c:pt idx="96">
                  <c:v>1.1200000000000001</c:v>
                </c:pt>
                <c:pt idx="97">
                  <c:v>1.1200000000000001</c:v>
                </c:pt>
                <c:pt idx="98">
                  <c:v>1.1200000000000001</c:v>
                </c:pt>
                <c:pt idx="99">
                  <c:v>1.1100000000000001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0D-464F-B2C9-60ADB9EA98A3}"/>
            </c:ext>
          </c:extLst>
        </c:ser>
        <c:ser>
          <c:idx val="3"/>
          <c:order val="3"/>
          <c:tx>
            <c:strRef>
              <c:f>主頁面!$CQ$2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主頁面!$CM$3:$CM$102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主頁面!$CQ$3:$CQ$102</c:f>
              <c:numCache>
                <c:formatCode>General</c:formatCode>
                <c:ptCount val="100"/>
                <c:pt idx="0">
                  <c:v>1.1599999999999999</c:v>
                </c:pt>
                <c:pt idx="1">
                  <c:v>1.1599999999999999</c:v>
                </c:pt>
                <c:pt idx="2">
                  <c:v>1.1299999999999999</c:v>
                </c:pt>
                <c:pt idx="3">
                  <c:v>1.1499999999999999</c:v>
                </c:pt>
                <c:pt idx="4">
                  <c:v>1.1399999999999999</c:v>
                </c:pt>
                <c:pt idx="5">
                  <c:v>1.1399999999999999</c:v>
                </c:pt>
                <c:pt idx="6">
                  <c:v>1.1499999999999999</c:v>
                </c:pt>
                <c:pt idx="7">
                  <c:v>1.1599999999999999</c:v>
                </c:pt>
                <c:pt idx="8">
                  <c:v>1.18</c:v>
                </c:pt>
                <c:pt idx="9">
                  <c:v>1.1499999999999999</c:v>
                </c:pt>
                <c:pt idx="10">
                  <c:v>1.19</c:v>
                </c:pt>
                <c:pt idx="11">
                  <c:v>1.1599999999999999</c:v>
                </c:pt>
                <c:pt idx="12">
                  <c:v>1.1499999999999999</c:v>
                </c:pt>
                <c:pt idx="13">
                  <c:v>1.17</c:v>
                </c:pt>
                <c:pt idx="14">
                  <c:v>1.1599999999999999</c:v>
                </c:pt>
                <c:pt idx="15">
                  <c:v>1.1299999999999999</c:v>
                </c:pt>
                <c:pt idx="16">
                  <c:v>1.1100000000000001</c:v>
                </c:pt>
                <c:pt idx="17">
                  <c:v>1.1100000000000001</c:v>
                </c:pt>
                <c:pt idx="18">
                  <c:v>1.1000000000000001</c:v>
                </c:pt>
                <c:pt idx="19">
                  <c:v>1.1200000000000001</c:v>
                </c:pt>
                <c:pt idx="20">
                  <c:v>1.1100000000000001</c:v>
                </c:pt>
                <c:pt idx="21">
                  <c:v>1.1000000000000001</c:v>
                </c:pt>
                <c:pt idx="22">
                  <c:v>1.1200000000000001</c:v>
                </c:pt>
                <c:pt idx="23">
                  <c:v>1.1000000000000001</c:v>
                </c:pt>
                <c:pt idx="24">
                  <c:v>1.1200000000000001</c:v>
                </c:pt>
                <c:pt idx="25">
                  <c:v>1.1299999999999999</c:v>
                </c:pt>
                <c:pt idx="26">
                  <c:v>1.1100000000000001</c:v>
                </c:pt>
                <c:pt idx="27">
                  <c:v>1.1200000000000001</c:v>
                </c:pt>
                <c:pt idx="28">
                  <c:v>1.1299999999999999</c:v>
                </c:pt>
                <c:pt idx="29">
                  <c:v>1.1299999999999999</c:v>
                </c:pt>
                <c:pt idx="30">
                  <c:v>1.1299999999999999</c:v>
                </c:pt>
                <c:pt idx="31">
                  <c:v>1.1499999999999999</c:v>
                </c:pt>
                <c:pt idx="32">
                  <c:v>1.1399999999999999</c:v>
                </c:pt>
                <c:pt idx="33">
                  <c:v>1.1399999999999999</c:v>
                </c:pt>
                <c:pt idx="34">
                  <c:v>1.1399999999999999</c:v>
                </c:pt>
                <c:pt idx="35">
                  <c:v>1.1399999999999999</c:v>
                </c:pt>
                <c:pt idx="36">
                  <c:v>1.1299999999999999</c:v>
                </c:pt>
                <c:pt idx="37">
                  <c:v>1.1299999999999999</c:v>
                </c:pt>
                <c:pt idx="38">
                  <c:v>1.18</c:v>
                </c:pt>
                <c:pt idx="39">
                  <c:v>1.21</c:v>
                </c:pt>
                <c:pt idx="40">
                  <c:v>1.21</c:v>
                </c:pt>
                <c:pt idx="41">
                  <c:v>1.17</c:v>
                </c:pt>
                <c:pt idx="42">
                  <c:v>1.19</c:v>
                </c:pt>
                <c:pt idx="43">
                  <c:v>1.17</c:v>
                </c:pt>
                <c:pt idx="44">
                  <c:v>1.1599999999999999</c:v>
                </c:pt>
                <c:pt idx="45">
                  <c:v>1.1399999999999999</c:v>
                </c:pt>
                <c:pt idx="46">
                  <c:v>1.1399999999999999</c:v>
                </c:pt>
                <c:pt idx="47">
                  <c:v>1.1499999999999999</c:v>
                </c:pt>
                <c:pt idx="48">
                  <c:v>1.17</c:v>
                </c:pt>
                <c:pt idx="49">
                  <c:v>1.17</c:v>
                </c:pt>
                <c:pt idx="50">
                  <c:v>1.1399999999999999</c:v>
                </c:pt>
                <c:pt idx="51">
                  <c:v>1.1599999999999999</c:v>
                </c:pt>
                <c:pt idx="52">
                  <c:v>1.1599999999999999</c:v>
                </c:pt>
                <c:pt idx="53">
                  <c:v>1.1599999999999999</c:v>
                </c:pt>
                <c:pt idx="54">
                  <c:v>1.1599999999999999</c:v>
                </c:pt>
                <c:pt idx="55">
                  <c:v>1.18</c:v>
                </c:pt>
                <c:pt idx="56">
                  <c:v>1.18</c:v>
                </c:pt>
                <c:pt idx="57">
                  <c:v>1.1599999999999999</c:v>
                </c:pt>
                <c:pt idx="58">
                  <c:v>1.17</c:v>
                </c:pt>
                <c:pt idx="59">
                  <c:v>1.17</c:v>
                </c:pt>
                <c:pt idx="60">
                  <c:v>1.1599999999999999</c:v>
                </c:pt>
                <c:pt idx="61">
                  <c:v>1.1499999999999999</c:v>
                </c:pt>
                <c:pt idx="62">
                  <c:v>1.17</c:v>
                </c:pt>
                <c:pt idx="63">
                  <c:v>1.1599999999999999</c:v>
                </c:pt>
                <c:pt idx="64">
                  <c:v>1.1599999999999999</c:v>
                </c:pt>
                <c:pt idx="65">
                  <c:v>1.1399999999999999</c:v>
                </c:pt>
                <c:pt idx="66">
                  <c:v>1.1299999999999999</c:v>
                </c:pt>
                <c:pt idx="67">
                  <c:v>1.1299999999999999</c:v>
                </c:pt>
                <c:pt idx="68">
                  <c:v>1.1399999999999999</c:v>
                </c:pt>
                <c:pt idx="69">
                  <c:v>1.1299999999999999</c:v>
                </c:pt>
                <c:pt idx="70">
                  <c:v>1.1200000000000001</c:v>
                </c:pt>
                <c:pt idx="71">
                  <c:v>1.1200000000000001</c:v>
                </c:pt>
                <c:pt idx="72">
                  <c:v>1.1200000000000001</c:v>
                </c:pt>
                <c:pt idx="73">
                  <c:v>1.1200000000000001</c:v>
                </c:pt>
                <c:pt idx="74">
                  <c:v>1.1499999999999999</c:v>
                </c:pt>
                <c:pt idx="75">
                  <c:v>1.1200000000000001</c:v>
                </c:pt>
                <c:pt idx="76">
                  <c:v>1.1200000000000001</c:v>
                </c:pt>
                <c:pt idx="77">
                  <c:v>1.1200000000000001</c:v>
                </c:pt>
                <c:pt idx="78">
                  <c:v>1.1299999999999999</c:v>
                </c:pt>
                <c:pt idx="79">
                  <c:v>1.1399999999999999</c:v>
                </c:pt>
                <c:pt idx="80">
                  <c:v>1.1399999999999999</c:v>
                </c:pt>
                <c:pt idx="81">
                  <c:v>1.1599999999999999</c:v>
                </c:pt>
                <c:pt idx="82">
                  <c:v>1.17</c:v>
                </c:pt>
                <c:pt idx="83">
                  <c:v>1.1499999999999999</c:v>
                </c:pt>
                <c:pt idx="84">
                  <c:v>1.1499999999999999</c:v>
                </c:pt>
                <c:pt idx="85">
                  <c:v>1.1200000000000001</c:v>
                </c:pt>
                <c:pt idx="86">
                  <c:v>1.17</c:v>
                </c:pt>
                <c:pt idx="87">
                  <c:v>1.1100000000000001</c:v>
                </c:pt>
                <c:pt idx="88">
                  <c:v>1.1000000000000001</c:v>
                </c:pt>
                <c:pt idx="89">
                  <c:v>1.05</c:v>
                </c:pt>
                <c:pt idx="90">
                  <c:v>1.04</c:v>
                </c:pt>
                <c:pt idx="91">
                  <c:v>1.1100000000000001</c:v>
                </c:pt>
                <c:pt idx="92">
                  <c:v>1.1299999999999999</c:v>
                </c:pt>
                <c:pt idx="93">
                  <c:v>1.1200000000000001</c:v>
                </c:pt>
                <c:pt idx="94">
                  <c:v>1.1399999999999999</c:v>
                </c:pt>
                <c:pt idx="95">
                  <c:v>1.1299999999999999</c:v>
                </c:pt>
                <c:pt idx="96">
                  <c:v>1.1399999999999999</c:v>
                </c:pt>
                <c:pt idx="97">
                  <c:v>1.1299999999999999</c:v>
                </c:pt>
                <c:pt idx="98">
                  <c:v>1.1299999999999999</c:v>
                </c:pt>
                <c:pt idx="99">
                  <c:v>1.1299999999999999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0D-464F-B2C9-60ADB9EA9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293201752"/>
        <c:axId val="293205032"/>
      </c:stockChart>
      <c:dateAx>
        <c:axId val="293201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205032"/>
        <c:crosses val="autoZero"/>
        <c:auto val="1"/>
        <c:lblOffset val="100"/>
        <c:baseTimeUnit val="days"/>
      </c:dateAx>
      <c:valAx>
        <c:axId val="293205032"/>
        <c:scaling>
          <c:orientation val="minMax"/>
          <c:max val="1.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20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主頁面!$CV$1</c:f>
          <c:strCache>
            <c:ptCount val="1"/>
            <c:pt idx="0">
              <c:v>2823 iShares 安碩富時A50中國指數ETF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主頁面!$CW$2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主頁面!$CV$3:$CV$101</c:f>
              <c:numCache>
                <c:formatCode>m/d/yyyy</c:formatCode>
                <c:ptCount val="99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主頁面!$CW$3:$CW$101</c:f>
              <c:numCache>
                <c:formatCode>General</c:formatCode>
                <c:ptCount val="99"/>
                <c:pt idx="0">
                  <c:v>11.32</c:v>
                </c:pt>
                <c:pt idx="1">
                  <c:v>11.34</c:v>
                </c:pt>
                <c:pt idx="2">
                  <c:v>11.26</c:v>
                </c:pt>
                <c:pt idx="3">
                  <c:v>11.24</c:v>
                </c:pt>
                <c:pt idx="4">
                  <c:v>11.28</c:v>
                </c:pt>
                <c:pt idx="5">
                  <c:v>11.2</c:v>
                </c:pt>
                <c:pt idx="6">
                  <c:v>11.16</c:v>
                </c:pt>
                <c:pt idx="7">
                  <c:v>11.06</c:v>
                </c:pt>
                <c:pt idx="8">
                  <c:v>11.16</c:v>
                </c:pt>
                <c:pt idx="9">
                  <c:v>11.18</c:v>
                </c:pt>
                <c:pt idx="10">
                  <c:v>11.16</c:v>
                </c:pt>
                <c:pt idx="11">
                  <c:v>11.22</c:v>
                </c:pt>
                <c:pt idx="12">
                  <c:v>11.22</c:v>
                </c:pt>
                <c:pt idx="13">
                  <c:v>11.2</c:v>
                </c:pt>
                <c:pt idx="14">
                  <c:v>11.16</c:v>
                </c:pt>
                <c:pt idx="15">
                  <c:v>11.12</c:v>
                </c:pt>
                <c:pt idx="16">
                  <c:v>11.08</c:v>
                </c:pt>
                <c:pt idx="17">
                  <c:v>11.04</c:v>
                </c:pt>
                <c:pt idx="18">
                  <c:v>11</c:v>
                </c:pt>
                <c:pt idx="19">
                  <c:v>11.04</c:v>
                </c:pt>
                <c:pt idx="20">
                  <c:v>11.08</c:v>
                </c:pt>
                <c:pt idx="21">
                  <c:v>11.18</c:v>
                </c:pt>
                <c:pt idx="22">
                  <c:v>11.4</c:v>
                </c:pt>
                <c:pt idx="23">
                  <c:v>11.4</c:v>
                </c:pt>
                <c:pt idx="24">
                  <c:v>11.44</c:v>
                </c:pt>
                <c:pt idx="25">
                  <c:v>11.28</c:v>
                </c:pt>
                <c:pt idx="26">
                  <c:v>11.28</c:v>
                </c:pt>
                <c:pt idx="27">
                  <c:v>11.34</c:v>
                </c:pt>
                <c:pt idx="28">
                  <c:v>11.46</c:v>
                </c:pt>
                <c:pt idx="29">
                  <c:v>11.5</c:v>
                </c:pt>
                <c:pt idx="30">
                  <c:v>11.9</c:v>
                </c:pt>
                <c:pt idx="31">
                  <c:v>11.98</c:v>
                </c:pt>
                <c:pt idx="32">
                  <c:v>11.9</c:v>
                </c:pt>
                <c:pt idx="33">
                  <c:v>11.94</c:v>
                </c:pt>
                <c:pt idx="34">
                  <c:v>12.04</c:v>
                </c:pt>
                <c:pt idx="35">
                  <c:v>12</c:v>
                </c:pt>
                <c:pt idx="36">
                  <c:v>11.88</c:v>
                </c:pt>
                <c:pt idx="37">
                  <c:v>11.94</c:v>
                </c:pt>
                <c:pt idx="38">
                  <c:v>12.04</c:v>
                </c:pt>
                <c:pt idx="39">
                  <c:v>12.16</c:v>
                </c:pt>
                <c:pt idx="40">
                  <c:v>12.24</c:v>
                </c:pt>
                <c:pt idx="41">
                  <c:v>12.18</c:v>
                </c:pt>
                <c:pt idx="42">
                  <c:v>12.16</c:v>
                </c:pt>
                <c:pt idx="43">
                  <c:v>12.04</c:v>
                </c:pt>
                <c:pt idx="44">
                  <c:v>12</c:v>
                </c:pt>
                <c:pt idx="45">
                  <c:v>11.9</c:v>
                </c:pt>
                <c:pt idx="46">
                  <c:v>12.06</c:v>
                </c:pt>
                <c:pt idx="47">
                  <c:v>12.1</c:v>
                </c:pt>
                <c:pt idx="48">
                  <c:v>12.08</c:v>
                </c:pt>
                <c:pt idx="49">
                  <c:v>12.2</c:v>
                </c:pt>
                <c:pt idx="50">
                  <c:v>12.3</c:v>
                </c:pt>
                <c:pt idx="51">
                  <c:v>12.44</c:v>
                </c:pt>
                <c:pt idx="52">
                  <c:v>12.44</c:v>
                </c:pt>
                <c:pt idx="53">
                  <c:v>12.48</c:v>
                </c:pt>
                <c:pt idx="54">
                  <c:v>12.44</c:v>
                </c:pt>
                <c:pt idx="55">
                  <c:v>12.52</c:v>
                </c:pt>
                <c:pt idx="56">
                  <c:v>12.42</c:v>
                </c:pt>
                <c:pt idx="57">
                  <c:v>12.28</c:v>
                </c:pt>
                <c:pt idx="58">
                  <c:v>12.5</c:v>
                </c:pt>
                <c:pt idx="59">
                  <c:v>12.5</c:v>
                </c:pt>
                <c:pt idx="60">
                  <c:v>12.5</c:v>
                </c:pt>
                <c:pt idx="61">
                  <c:v>12.54</c:v>
                </c:pt>
                <c:pt idx="62">
                  <c:v>12.68</c:v>
                </c:pt>
                <c:pt idx="63">
                  <c:v>12.7</c:v>
                </c:pt>
                <c:pt idx="64">
                  <c:v>12.88</c:v>
                </c:pt>
                <c:pt idx="65">
                  <c:v>13</c:v>
                </c:pt>
                <c:pt idx="66">
                  <c:v>13</c:v>
                </c:pt>
                <c:pt idx="67">
                  <c:v>12.98</c:v>
                </c:pt>
                <c:pt idx="68">
                  <c:v>13.12</c:v>
                </c:pt>
                <c:pt idx="69">
                  <c:v>13.12</c:v>
                </c:pt>
                <c:pt idx="70">
                  <c:v>13.1</c:v>
                </c:pt>
                <c:pt idx="71">
                  <c:v>13.18</c:v>
                </c:pt>
                <c:pt idx="72">
                  <c:v>13.2</c:v>
                </c:pt>
                <c:pt idx="73">
                  <c:v>13.14</c:v>
                </c:pt>
                <c:pt idx="74">
                  <c:v>13.16</c:v>
                </c:pt>
                <c:pt idx="75">
                  <c:v>13.24</c:v>
                </c:pt>
                <c:pt idx="76">
                  <c:v>13.26</c:v>
                </c:pt>
                <c:pt idx="77">
                  <c:v>13.46</c:v>
                </c:pt>
                <c:pt idx="78">
                  <c:v>13.44</c:v>
                </c:pt>
                <c:pt idx="79">
                  <c:v>13.26</c:v>
                </c:pt>
                <c:pt idx="80">
                  <c:v>13.2</c:v>
                </c:pt>
                <c:pt idx="81">
                  <c:v>13.22</c:v>
                </c:pt>
                <c:pt idx="82">
                  <c:v>13.24</c:v>
                </c:pt>
                <c:pt idx="83">
                  <c:v>13.2</c:v>
                </c:pt>
                <c:pt idx="84">
                  <c:v>13.04</c:v>
                </c:pt>
                <c:pt idx="85">
                  <c:v>12.88</c:v>
                </c:pt>
                <c:pt idx="86">
                  <c:v>13.06</c:v>
                </c:pt>
                <c:pt idx="87">
                  <c:v>13.12</c:v>
                </c:pt>
                <c:pt idx="88">
                  <c:v>13.16</c:v>
                </c:pt>
                <c:pt idx="89">
                  <c:v>13.08</c:v>
                </c:pt>
                <c:pt idx="90">
                  <c:v>13.14</c:v>
                </c:pt>
                <c:pt idx="91">
                  <c:v>13.24</c:v>
                </c:pt>
                <c:pt idx="92">
                  <c:v>13.36</c:v>
                </c:pt>
                <c:pt idx="93">
                  <c:v>13.44</c:v>
                </c:pt>
                <c:pt idx="94">
                  <c:v>13.4</c:v>
                </c:pt>
                <c:pt idx="95">
                  <c:v>13.76</c:v>
                </c:pt>
                <c:pt idx="96">
                  <c:v>13.88</c:v>
                </c:pt>
                <c:pt idx="97">
                  <c:v>14.02</c:v>
                </c:pt>
                <c:pt idx="98">
                  <c:v>14.02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9-4AE8-A3C7-9BC7B21E6D60}"/>
            </c:ext>
          </c:extLst>
        </c:ser>
        <c:ser>
          <c:idx val="1"/>
          <c:order val="1"/>
          <c:tx>
            <c:strRef>
              <c:f>主頁面!$CX$2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主頁面!$CV$3:$CV$101</c:f>
              <c:numCache>
                <c:formatCode>m/d/yyyy</c:formatCode>
                <c:ptCount val="99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主頁面!$CX$3:$CX$101</c:f>
              <c:numCache>
                <c:formatCode>General</c:formatCode>
                <c:ptCount val="99"/>
                <c:pt idx="0">
                  <c:v>11.36</c:v>
                </c:pt>
                <c:pt idx="1">
                  <c:v>11.34</c:v>
                </c:pt>
                <c:pt idx="2">
                  <c:v>11.32</c:v>
                </c:pt>
                <c:pt idx="3">
                  <c:v>11.32</c:v>
                </c:pt>
                <c:pt idx="4">
                  <c:v>11.36</c:v>
                </c:pt>
                <c:pt idx="5">
                  <c:v>11.2</c:v>
                </c:pt>
                <c:pt idx="6">
                  <c:v>11.16</c:v>
                </c:pt>
                <c:pt idx="7">
                  <c:v>11.16</c:v>
                </c:pt>
                <c:pt idx="8">
                  <c:v>11.22</c:v>
                </c:pt>
                <c:pt idx="9">
                  <c:v>11.18</c:v>
                </c:pt>
                <c:pt idx="10">
                  <c:v>11.22</c:v>
                </c:pt>
                <c:pt idx="11">
                  <c:v>11.3</c:v>
                </c:pt>
                <c:pt idx="12">
                  <c:v>11.22</c:v>
                </c:pt>
                <c:pt idx="13">
                  <c:v>11.2</c:v>
                </c:pt>
                <c:pt idx="14">
                  <c:v>11.2</c:v>
                </c:pt>
                <c:pt idx="15">
                  <c:v>11.12</c:v>
                </c:pt>
                <c:pt idx="16">
                  <c:v>11.08</c:v>
                </c:pt>
                <c:pt idx="17">
                  <c:v>11.04</c:v>
                </c:pt>
                <c:pt idx="18">
                  <c:v>11.06</c:v>
                </c:pt>
                <c:pt idx="19">
                  <c:v>11.16</c:v>
                </c:pt>
                <c:pt idx="20">
                  <c:v>11.18</c:v>
                </c:pt>
                <c:pt idx="21">
                  <c:v>11.36</c:v>
                </c:pt>
                <c:pt idx="22">
                  <c:v>11.46</c:v>
                </c:pt>
                <c:pt idx="23">
                  <c:v>11.44</c:v>
                </c:pt>
                <c:pt idx="24">
                  <c:v>11.44</c:v>
                </c:pt>
                <c:pt idx="25">
                  <c:v>11.34</c:v>
                </c:pt>
                <c:pt idx="26">
                  <c:v>11.34</c:v>
                </c:pt>
                <c:pt idx="27">
                  <c:v>11.46</c:v>
                </c:pt>
                <c:pt idx="28">
                  <c:v>11.6</c:v>
                </c:pt>
                <c:pt idx="29">
                  <c:v>11.9</c:v>
                </c:pt>
                <c:pt idx="30">
                  <c:v>11.98</c:v>
                </c:pt>
                <c:pt idx="31">
                  <c:v>11.98</c:v>
                </c:pt>
                <c:pt idx="32">
                  <c:v>12.06</c:v>
                </c:pt>
                <c:pt idx="33">
                  <c:v>12.06</c:v>
                </c:pt>
                <c:pt idx="34">
                  <c:v>12.1</c:v>
                </c:pt>
                <c:pt idx="35">
                  <c:v>12.02</c:v>
                </c:pt>
                <c:pt idx="36">
                  <c:v>11.96</c:v>
                </c:pt>
                <c:pt idx="37">
                  <c:v>12.1</c:v>
                </c:pt>
                <c:pt idx="38">
                  <c:v>12.18</c:v>
                </c:pt>
                <c:pt idx="39">
                  <c:v>12.32</c:v>
                </c:pt>
                <c:pt idx="40">
                  <c:v>12.4</c:v>
                </c:pt>
                <c:pt idx="41">
                  <c:v>12.22</c:v>
                </c:pt>
                <c:pt idx="42">
                  <c:v>12.18</c:v>
                </c:pt>
                <c:pt idx="43">
                  <c:v>12.08</c:v>
                </c:pt>
                <c:pt idx="44">
                  <c:v>12.02</c:v>
                </c:pt>
                <c:pt idx="45">
                  <c:v>12.06</c:v>
                </c:pt>
                <c:pt idx="46">
                  <c:v>12.08</c:v>
                </c:pt>
                <c:pt idx="47">
                  <c:v>12.12</c:v>
                </c:pt>
                <c:pt idx="48">
                  <c:v>12.38</c:v>
                </c:pt>
                <c:pt idx="49">
                  <c:v>12.34</c:v>
                </c:pt>
                <c:pt idx="50">
                  <c:v>12.48</c:v>
                </c:pt>
                <c:pt idx="51">
                  <c:v>12.48</c:v>
                </c:pt>
                <c:pt idx="52">
                  <c:v>12.54</c:v>
                </c:pt>
                <c:pt idx="53">
                  <c:v>12.56</c:v>
                </c:pt>
                <c:pt idx="54">
                  <c:v>12.56</c:v>
                </c:pt>
                <c:pt idx="55">
                  <c:v>12.54</c:v>
                </c:pt>
                <c:pt idx="56">
                  <c:v>12.42</c:v>
                </c:pt>
                <c:pt idx="57">
                  <c:v>12.52</c:v>
                </c:pt>
                <c:pt idx="58">
                  <c:v>12.56</c:v>
                </c:pt>
                <c:pt idx="59">
                  <c:v>12.54</c:v>
                </c:pt>
                <c:pt idx="60">
                  <c:v>12.56</c:v>
                </c:pt>
                <c:pt idx="61">
                  <c:v>12.76</c:v>
                </c:pt>
                <c:pt idx="62">
                  <c:v>12.86</c:v>
                </c:pt>
                <c:pt idx="63">
                  <c:v>12.88</c:v>
                </c:pt>
                <c:pt idx="64">
                  <c:v>13</c:v>
                </c:pt>
                <c:pt idx="65">
                  <c:v>13.16</c:v>
                </c:pt>
                <c:pt idx="66">
                  <c:v>13.06</c:v>
                </c:pt>
                <c:pt idx="67">
                  <c:v>13.14</c:v>
                </c:pt>
                <c:pt idx="68">
                  <c:v>13.16</c:v>
                </c:pt>
                <c:pt idx="69">
                  <c:v>13.16</c:v>
                </c:pt>
                <c:pt idx="70">
                  <c:v>13.2</c:v>
                </c:pt>
                <c:pt idx="71">
                  <c:v>13.26</c:v>
                </c:pt>
                <c:pt idx="72">
                  <c:v>13.26</c:v>
                </c:pt>
                <c:pt idx="73">
                  <c:v>13.22</c:v>
                </c:pt>
                <c:pt idx="74">
                  <c:v>13.24</c:v>
                </c:pt>
                <c:pt idx="75">
                  <c:v>13.3</c:v>
                </c:pt>
                <c:pt idx="76">
                  <c:v>13.46</c:v>
                </c:pt>
                <c:pt idx="77">
                  <c:v>13.5</c:v>
                </c:pt>
                <c:pt idx="78">
                  <c:v>13.46</c:v>
                </c:pt>
                <c:pt idx="79">
                  <c:v>13.32</c:v>
                </c:pt>
                <c:pt idx="80">
                  <c:v>13.28</c:v>
                </c:pt>
                <c:pt idx="81">
                  <c:v>13.28</c:v>
                </c:pt>
                <c:pt idx="82">
                  <c:v>13.26</c:v>
                </c:pt>
                <c:pt idx="83">
                  <c:v>13.3</c:v>
                </c:pt>
                <c:pt idx="84">
                  <c:v>13.1</c:v>
                </c:pt>
                <c:pt idx="85">
                  <c:v>13.06</c:v>
                </c:pt>
                <c:pt idx="86">
                  <c:v>13.2</c:v>
                </c:pt>
                <c:pt idx="87">
                  <c:v>13.12</c:v>
                </c:pt>
                <c:pt idx="88">
                  <c:v>13.16</c:v>
                </c:pt>
                <c:pt idx="89">
                  <c:v>13.2</c:v>
                </c:pt>
                <c:pt idx="90">
                  <c:v>13.26</c:v>
                </c:pt>
                <c:pt idx="91">
                  <c:v>13.38</c:v>
                </c:pt>
                <c:pt idx="92">
                  <c:v>13.36</c:v>
                </c:pt>
                <c:pt idx="93">
                  <c:v>13.54</c:v>
                </c:pt>
                <c:pt idx="94">
                  <c:v>13.74</c:v>
                </c:pt>
                <c:pt idx="95">
                  <c:v>14.02</c:v>
                </c:pt>
                <c:pt idx="96">
                  <c:v>14.06</c:v>
                </c:pt>
                <c:pt idx="97">
                  <c:v>14.16</c:v>
                </c:pt>
                <c:pt idx="98">
                  <c:v>14.04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9-4AE8-A3C7-9BC7B21E6D60}"/>
            </c:ext>
          </c:extLst>
        </c:ser>
        <c:ser>
          <c:idx val="2"/>
          <c:order val="2"/>
          <c:tx>
            <c:strRef>
              <c:f>主頁面!$CY$2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主頁面!$CV$3:$CV$101</c:f>
              <c:numCache>
                <c:formatCode>m/d/yyyy</c:formatCode>
                <c:ptCount val="99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主頁面!$CY$3:$CY$101</c:f>
              <c:numCache>
                <c:formatCode>General</c:formatCode>
                <c:ptCount val="99"/>
                <c:pt idx="0">
                  <c:v>11.28</c:v>
                </c:pt>
                <c:pt idx="1">
                  <c:v>11.24</c:v>
                </c:pt>
                <c:pt idx="2">
                  <c:v>11.14</c:v>
                </c:pt>
                <c:pt idx="3">
                  <c:v>11.22</c:v>
                </c:pt>
                <c:pt idx="4">
                  <c:v>11.26</c:v>
                </c:pt>
                <c:pt idx="5">
                  <c:v>11.14</c:v>
                </c:pt>
                <c:pt idx="6">
                  <c:v>11</c:v>
                </c:pt>
                <c:pt idx="7">
                  <c:v>11.04</c:v>
                </c:pt>
                <c:pt idx="8">
                  <c:v>11.14</c:v>
                </c:pt>
                <c:pt idx="9">
                  <c:v>11.1</c:v>
                </c:pt>
                <c:pt idx="10">
                  <c:v>11.14</c:v>
                </c:pt>
                <c:pt idx="11">
                  <c:v>11.2</c:v>
                </c:pt>
                <c:pt idx="12">
                  <c:v>11.12</c:v>
                </c:pt>
                <c:pt idx="13">
                  <c:v>11.1</c:v>
                </c:pt>
                <c:pt idx="14">
                  <c:v>11.1</c:v>
                </c:pt>
                <c:pt idx="15">
                  <c:v>11.06</c:v>
                </c:pt>
                <c:pt idx="16">
                  <c:v>10.96</c:v>
                </c:pt>
                <c:pt idx="17">
                  <c:v>10.94</c:v>
                </c:pt>
                <c:pt idx="18">
                  <c:v>10.96</c:v>
                </c:pt>
                <c:pt idx="19">
                  <c:v>11.04</c:v>
                </c:pt>
                <c:pt idx="20">
                  <c:v>11.06</c:v>
                </c:pt>
                <c:pt idx="21">
                  <c:v>11.16</c:v>
                </c:pt>
                <c:pt idx="22">
                  <c:v>11.38</c:v>
                </c:pt>
                <c:pt idx="23">
                  <c:v>11.32</c:v>
                </c:pt>
                <c:pt idx="24">
                  <c:v>11.32</c:v>
                </c:pt>
                <c:pt idx="25">
                  <c:v>11.26</c:v>
                </c:pt>
                <c:pt idx="26">
                  <c:v>11.26</c:v>
                </c:pt>
                <c:pt idx="27">
                  <c:v>11.32</c:v>
                </c:pt>
                <c:pt idx="28">
                  <c:v>11.42</c:v>
                </c:pt>
                <c:pt idx="29">
                  <c:v>11.5</c:v>
                </c:pt>
                <c:pt idx="30">
                  <c:v>11.84</c:v>
                </c:pt>
                <c:pt idx="31">
                  <c:v>11.88</c:v>
                </c:pt>
                <c:pt idx="32">
                  <c:v>11.88</c:v>
                </c:pt>
                <c:pt idx="33">
                  <c:v>11.94</c:v>
                </c:pt>
                <c:pt idx="34">
                  <c:v>11.94</c:v>
                </c:pt>
                <c:pt idx="35">
                  <c:v>11.82</c:v>
                </c:pt>
                <c:pt idx="36">
                  <c:v>11.84</c:v>
                </c:pt>
                <c:pt idx="37">
                  <c:v>11.94</c:v>
                </c:pt>
                <c:pt idx="38">
                  <c:v>12.02</c:v>
                </c:pt>
                <c:pt idx="39">
                  <c:v>12.14</c:v>
                </c:pt>
                <c:pt idx="40">
                  <c:v>12.18</c:v>
                </c:pt>
                <c:pt idx="41">
                  <c:v>12.12</c:v>
                </c:pt>
                <c:pt idx="42">
                  <c:v>12</c:v>
                </c:pt>
                <c:pt idx="43">
                  <c:v>11.94</c:v>
                </c:pt>
                <c:pt idx="44">
                  <c:v>11.88</c:v>
                </c:pt>
                <c:pt idx="45">
                  <c:v>11.9</c:v>
                </c:pt>
                <c:pt idx="46">
                  <c:v>11.94</c:v>
                </c:pt>
                <c:pt idx="47">
                  <c:v>11.98</c:v>
                </c:pt>
                <c:pt idx="48">
                  <c:v>12.06</c:v>
                </c:pt>
                <c:pt idx="49">
                  <c:v>12.14</c:v>
                </c:pt>
                <c:pt idx="50">
                  <c:v>12.3</c:v>
                </c:pt>
                <c:pt idx="51">
                  <c:v>12.34</c:v>
                </c:pt>
                <c:pt idx="52">
                  <c:v>12.4</c:v>
                </c:pt>
                <c:pt idx="53">
                  <c:v>12.48</c:v>
                </c:pt>
                <c:pt idx="54">
                  <c:v>12.44</c:v>
                </c:pt>
                <c:pt idx="55">
                  <c:v>12.4</c:v>
                </c:pt>
                <c:pt idx="56">
                  <c:v>12.24</c:v>
                </c:pt>
                <c:pt idx="57">
                  <c:v>12.26</c:v>
                </c:pt>
                <c:pt idx="58">
                  <c:v>12.44</c:v>
                </c:pt>
                <c:pt idx="59">
                  <c:v>12.44</c:v>
                </c:pt>
                <c:pt idx="60">
                  <c:v>12.44</c:v>
                </c:pt>
                <c:pt idx="61">
                  <c:v>12.52</c:v>
                </c:pt>
                <c:pt idx="62">
                  <c:v>12.6</c:v>
                </c:pt>
                <c:pt idx="63">
                  <c:v>12.68</c:v>
                </c:pt>
                <c:pt idx="64">
                  <c:v>12.84</c:v>
                </c:pt>
                <c:pt idx="65">
                  <c:v>12.86</c:v>
                </c:pt>
                <c:pt idx="66">
                  <c:v>12.88</c:v>
                </c:pt>
                <c:pt idx="67">
                  <c:v>12.98</c:v>
                </c:pt>
                <c:pt idx="68">
                  <c:v>13.04</c:v>
                </c:pt>
                <c:pt idx="69">
                  <c:v>13.08</c:v>
                </c:pt>
                <c:pt idx="70">
                  <c:v>13.06</c:v>
                </c:pt>
                <c:pt idx="71">
                  <c:v>13.12</c:v>
                </c:pt>
                <c:pt idx="72">
                  <c:v>13.06</c:v>
                </c:pt>
                <c:pt idx="73">
                  <c:v>13.1</c:v>
                </c:pt>
                <c:pt idx="74">
                  <c:v>13.1</c:v>
                </c:pt>
                <c:pt idx="75">
                  <c:v>13.2</c:v>
                </c:pt>
                <c:pt idx="76">
                  <c:v>13.26</c:v>
                </c:pt>
                <c:pt idx="77">
                  <c:v>13.42</c:v>
                </c:pt>
                <c:pt idx="78">
                  <c:v>13.26</c:v>
                </c:pt>
                <c:pt idx="79">
                  <c:v>13.18</c:v>
                </c:pt>
                <c:pt idx="80">
                  <c:v>13.14</c:v>
                </c:pt>
                <c:pt idx="81">
                  <c:v>13.2</c:v>
                </c:pt>
                <c:pt idx="82">
                  <c:v>13.2</c:v>
                </c:pt>
                <c:pt idx="83">
                  <c:v>13.04</c:v>
                </c:pt>
                <c:pt idx="84">
                  <c:v>12.82</c:v>
                </c:pt>
                <c:pt idx="85">
                  <c:v>12.88</c:v>
                </c:pt>
                <c:pt idx="86">
                  <c:v>13.04</c:v>
                </c:pt>
                <c:pt idx="87">
                  <c:v>13.02</c:v>
                </c:pt>
                <c:pt idx="88">
                  <c:v>13.08</c:v>
                </c:pt>
                <c:pt idx="89">
                  <c:v>13.06</c:v>
                </c:pt>
                <c:pt idx="90">
                  <c:v>13.14</c:v>
                </c:pt>
                <c:pt idx="91">
                  <c:v>13.24</c:v>
                </c:pt>
                <c:pt idx="92">
                  <c:v>13.36</c:v>
                </c:pt>
                <c:pt idx="93">
                  <c:v>13.4</c:v>
                </c:pt>
                <c:pt idx="94">
                  <c:v>13.4</c:v>
                </c:pt>
                <c:pt idx="95">
                  <c:v>13.76</c:v>
                </c:pt>
                <c:pt idx="96">
                  <c:v>13.88</c:v>
                </c:pt>
                <c:pt idx="97">
                  <c:v>13.98</c:v>
                </c:pt>
                <c:pt idx="98">
                  <c:v>13.86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19-4AE8-A3C7-9BC7B21E6D60}"/>
            </c:ext>
          </c:extLst>
        </c:ser>
        <c:ser>
          <c:idx val="3"/>
          <c:order val="3"/>
          <c:tx>
            <c:strRef>
              <c:f>主頁面!$CZ$2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主頁面!$CV$3:$CV$101</c:f>
              <c:numCache>
                <c:formatCode>m/d/yyyy</c:formatCode>
                <c:ptCount val="99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主頁面!$CZ$3:$CZ$101</c:f>
              <c:numCache>
                <c:formatCode>General</c:formatCode>
                <c:ptCount val="99"/>
                <c:pt idx="0">
                  <c:v>11.34</c:v>
                </c:pt>
                <c:pt idx="1">
                  <c:v>11.26</c:v>
                </c:pt>
                <c:pt idx="2">
                  <c:v>11.26</c:v>
                </c:pt>
                <c:pt idx="3">
                  <c:v>11.28</c:v>
                </c:pt>
                <c:pt idx="4">
                  <c:v>11.3</c:v>
                </c:pt>
                <c:pt idx="5">
                  <c:v>11.18</c:v>
                </c:pt>
                <c:pt idx="6">
                  <c:v>11.06</c:v>
                </c:pt>
                <c:pt idx="7">
                  <c:v>11.16</c:v>
                </c:pt>
                <c:pt idx="8">
                  <c:v>11.18</c:v>
                </c:pt>
                <c:pt idx="9">
                  <c:v>11.14</c:v>
                </c:pt>
                <c:pt idx="10">
                  <c:v>11.2</c:v>
                </c:pt>
                <c:pt idx="11">
                  <c:v>11.24</c:v>
                </c:pt>
                <c:pt idx="12">
                  <c:v>11.18</c:v>
                </c:pt>
                <c:pt idx="13">
                  <c:v>11.16</c:v>
                </c:pt>
                <c:pt idx="14">
                  <c:v>11.12</c:v>
                </c:pt>
                <c:pt idx="15">
                  <c:v>11.06</c:v>
                </c:pt>
                <c:pt idx="16">
                  <c:v>11.04</c:v>
                </c:pt>
                <c:pt idx="17">
                  <c:v>11.02</c:v>
                </c:pt>
                <c:pt idx="18">
                  <c:v>11.06</c:v>
                </c:pt>
                <c:pt idx="19">
                  <c:v>11.06</c:v>
                </c:pt>
                <c:pt idx="20">
                  <c:v>11.16</c:v>
                </c:pt>
                <c:pt idx="21">
                  <c:v>11.34</c:v>
                </c:pt>
                <c:pt idx="22">
                  <c:v>11.4</c:v>
                </c:pt>
                <c:pt idx="23">
                  <c:v>11.42</c:v>
                </c:pt>
                <c:pt idx="24">
                  <c:v>11.34</c:v>
                </c:pt>
                <c:pt idx="25">
                  <c:v>11.26</c:v>
                </c:pt>
                <c:pt idx="26">
                  <c:v>11.32</c:v>
                </c:pt>
                <c:pt idx="27">
                  <c:v>11.44</c:v>
                </c:pt>
                <c:pt idx="28">
                  <c:v>11.54</c:v>
                </c:pt>
                <c:pt idx="29">
                  <c:v>11.86</c:v>
                </c:pt>
                <c:pt idx="30">
                  <c:v>11.9</c:v>
                </c:pt>
                <c:pt idx="31">
                  <c:v>11.9</c:v>
                </c:pt>
                <c:pt idx="32">
                  <c:v>11.94</c:v>
                </c:pt>
                <c:pt idx="33">
                  <c:v>12.02</c:v>
                </c:pt>
                <c:pt idx="34">
                  <c:v>11.96</c:v>
                </c:pt>
                <c:pt idx="35">
                  <c:v>11.84</c:v>
                </c:pt>
                <c:pt idx="36">
                  <c:v>11.94</c:v>
                </c:pt>
                <c:pt idx="37">
                  <c:v>12.04</c:v>
                </c:pt>
                <c:pt idx="38">
                  <c:v>12.16</c:v>
                </c:pt>
                <c:pt idx="39">
                  <c:v>12.24</c:v>
                </c:pt>
                <c:pt idx="40">
                  <c:v>12.18</c:v>
                </c:pt>
                <c:pt idx="41">
                  <c:v>12.18</c:v>
                </c:pt>
                <c:pt idx="42">
                  <c:v>12.02</c:v>
                </c:pt>
                <c:pt idx="43">
                  <c:v>11.94</c:v>
                </c:pt>
                <c:pt idx="44">
                  <c:v>11.88</c:v>
                </c:pt>
                <c:pt idx="45">
                  <c:v>12.02</c:v>
                </c:pt>
                <c:pt idx="46">
                  <c:v>11.96</c:v>
                </c:pt>
                <c:pt idx="47">
                  <c:v>12.08</c:v>
                </c:pt>
                <c:pt idx="48">
                  <c:v>12.18</c:v>
                </c:pt>
                <c:pt idx="49">
                  <c:v>12.3</c:v>
                </c:pt>
                <c:pt idx="50">
                  <c:v>12.42</c:v>
                </c:pt>
                <c:pt idx="51">
                  <c:v>12.44</c:v>
                </c:pt>
                <c:pt idx="52">
                  <c:v>12.4</c:v>
                </c:pt>
                <c:pt idx="53">
                  <c:v>12.52</c:v>
                </c:pt>
                <c:pt idx="54">
                  <c:v>12.54</c:v>
                </c:pt>
                <c:pt idx="55">
                  <c:v>12.42</c:v>
                </c:pt>
                <c:pt idx="56">
                  <c:v>12.28</c:v>
                </c:pt>
                <c:pt idx="57">
                  <c:v>12.52</c:v>
                </c:pt>
                <c:pt idx="58">
                  <c:v>12.54</c:v>
                </c:pt>
                <c:pt idx="59">
                  <c:v>12.44</c:v>
                </c:pt>
                <c:pt idx="60">
                  <c:v>12.52</c:v>
                </c:pt>
                <c:pt idx="61">
                  <c:v>12.68</c:v>
                </c:pt>
                <c:pt idx="62">
                  <c:v>12.66</c:v>
                </c:pt>
                <c:pt idx="63">
                  <c:v>12.88</c:v>
                </c:pt>
                <c:pt idx="64">
                  <c:v>12.96</c:v>
                </c:pt>
                <c:pt idx="65">
                  <c:v>13</c:v>
                </c:pt>
                <c:pt idx="66">
                  <c:v>12.98</c:v>
                </c:pt>
                <c:pt idx="67">
                  <c:v>13.12</c:v>
                </c:pt>
                <c:pt idx="68">
                  <c:v>13.14</c:v>
                </c:pt>
                <c:pt idx="69">
                  <c:v>13.08</c:v>
                </c:pt>
                <c:pt idx="70">
                  <c:v>13.16</c:v>
                </c:pt>
                <c:pt idx="71">
                  <c:v>13.18</c:v>
                </c:pt>
                <c:pt idx="72">
                  <c:v>13.12</c:v>
                </c:pt>
                <c:pt idx="73">
                  <c:v>13.18</c:v>
                </c:pt>
                <c:pt idx="74">
                  <c:v>13.24</c:v>
                </c:pt>
                <c:pt idx="75">
                  <c:v>13.28</c:v>
                </c:pt>
                <c:pt idx="76">
                  <c:v>13.44</c:v>
                </c:pt>
                <c:pt idx="77">
                  <c:v>13.44</c:v>
                </c:pt>
                <c:pt idx="78">
                  <c:v>13.26</c:v>
                </c:pt>
                <c:pt idx="79">
                  <c:v>13.2</c:v>
                </c:pt>
                <c:pt idx="80">
                  <c:v>13.26</c:v>
                </c:pt>
                <c:pt idx="81">
                  <c:v>13.26</c:v>
                </c:pt>
                <c:pt idx="82">
                  <c:v>13.2</c:v>
                </c:pt>
                <c:pt idx="83">
                  <c:v>13.12</c:v>
                </c:pt>
                <c:pt idx="84">
                  <c:v>12.82</c:v>
                </c:pt>
                <c:pt idx="85">
                  <c:v>13.04</c:v>
                </c:pt>
                <c:pt idx="86">
                  <c:v>13.1</c:v>
                </c:pt>
                <c:pt idx="87">
                  <c:v>13.1</c:v>
                </c:pt>
                <c:pt idx="88">
                  <c:v>13.14</c:v>
                </c:pt>
                <c:pt idx="89">
                  <c:v>13.14</c:v>
                </c:pt>
                <c:pt idx="90">
                  <c:v>13.24</c:v>
                </c:pt>
                <c:pt idx="91">
                  <c:v>13.36</c:v>
                </c:pt>
                <c:pt idx="92">
                  <c:v>13.36</c:v>
                </c:pt>
                <c:pt idx="93">
                  <c:v>13.4</c:v>
                </c:pt>
                <c:pt idx="94">
                  <c:v>13.74</c:v>
                </c:pt>
                <c:pt idx="95">
                  <c:v>13.9</c:v>
                </c:pt>
                <c:pt idx="96">
                  <c:v>13.98</c:v>
                </c:pt>
                <c:pt idx="97">
                  <c:v>14.02</c:v>
                </c:pt>
                <c:pt idx="98">
                  <c:v>13.9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19-4AE8-A3C7-9BC7B21E6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7849120"/>
        <c:axId val="422762960"/>
      </c:stockChart>
      <c:dateAx>
        <c:axId val="527849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62960"/>
        <c:crosses val="autoZero"/>
        <c:auto val="1"/>
        <c:lblOffset val="100"/>
        <c:baseTimeUnit val="days"/>
      </c:dateAx>
      <c:valAx>
        <c:axId val="422762960"/>
        <c:scaling>
          <c:orientation val="minMax"/>
          <c:max val="15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0</xdr:rowOff>
        </xdr:from>
        <xdr:to>
          <xdr:col>7</xdr:col>
          <xdr:colOff>19050</xdr:colOff>
          <xdr:row>3</xdr:row>
          <xdr:rowOff>0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重新載入上市公司列表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157163</xdr:rowOff>
        </xdr:from>
        <xdr:to>
          <xdr:col>7</xdr:col>
          <xdr:colOff>19050</xdr:colOff>
          <xdr:row>6</xdr:row>
          <xdr:rowOff>0</xdr:rowOff>
        </xdr:to>
        <xdr:sp macro="" textlink="">
          <xdr:nvSpPr>
            <xdr:cNvPr id="1027" name="Button 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重新載入歷史數據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103</xdr:row>
      <xdr:rowOff>0</xdr:rowOff>
    </xdr:from>
    <xdr:to>
      <xdr:col>16</xdr:col>
      <xdr:colOff>1</xdr:colOff>
      <xdr:row>123</xdr:row>
      <xdr:rowOff>0</xdr:rowOff>
    </xdr:to>
    <xdr:graphicFrame macro="">
      <xdr:nvGraphicFramePr>
        <xdr:cNvPr id="1072" name="Chart_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25</xdr:col>
      <xdr:colOff>0</xdr:colOff>
      <xdr:row>122</xdr:row>
      <xdr:rowOff>0</xdr:rowOff>
    </xdr:to>
    <xdr:graphicFrame macro="">
      <xdr:nvGraphicFramePr>
        <xdr:cNvPr id="1073" name="Chart_2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102</xdr:row>
      <xdr:rowOff>0</xdr:rowOff>
    </xdr:from>
    <xdr:to>
      <xdr:col>34</xdr:col>
      <xdr:colOff>1</xdr:colOff>
      <xdr:row>122</xdr:row>
      <xdr:rowOff>0</xdr:rowOff>
    </xdr:to>
    <xdr:graphicFrame macro="">
      <xdr:nvGraphicFramePr>
        <xdr:cNvPr id="1074" name="Chart_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102</xdr:row>
      <xdr:rowOff>0</xdr:rowOff>
    </xdr:from>
    <xdr:to>
      <xdr:col>43</xdr:col>
      <xdr:colOff>0</xdr:colOff>
      <xdr:row>122</xdr:row>
      <xdr:rowOff>0</xdr:rowOff>
    </xdr:to>
    <xdr:graphicFrame macro="">
      <xdr:nvGraphicFramePr>
        <xdr:cNvPr id="1075" name="Chart_4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0</xdr:colOff>
      <xdr:row>102</xdr:row>
      <xdr:rowOff>0</xdr:rowOff>
    </xdr:from>
    <xdr:to>
      <xdr:col>52</xdr:col>
      <xdr:colOff>1</xdr:colOff>
      <xdr:row>122</xdr:row>
      <xdr:rowOff>0</xdr:rowOff>
    </xdr:to>
    <xdr:graphicFrame macro="">
      <xdr:nvGraphicFramePr>
        <xdr:cNvPr id="1076" name="Chart_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54</xdr:col>
      <xdr:colOff>0</xdr:colOff>
      <xdr:row>103</xdr:row>
      <xdr:rowOff>0</xdr:rowOff>
    </xdr:from>
    <xdr:to>
      <xdr:col>61</xdr:col>
      <xdr:colOff>0</xdr:colOff>
      <xdr:row>123</xdr:row>
      <xdr:rowOff>0</xdr:rowOff>
    </xdr:to>
    <xdr:graphicFrame macro="">
      <xdr:nvGraphicFramePr>
        <xdr:cNvPr id="1077" name="Chart_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63</xdr:col>
      <xdr:colOff>0</xdr:colOff>
      <xdr:row>102</xdr:row>
      <xdr:rowOff>0</xdr:rowOff>
    </xdr:from>
    <xdr:to>
      <xdr:col>70</xdr:col>
      <xdr:colOff>1</xdr:colOff>
      <xdr:row>122</xdr:row>
      <xdr:rowOff>0</xdr:rowOff>
    </xdr:to>
    <xdr:graphicFrame macro="">
      <xdr:nvGraphicFramePr>
        <xdr:cNvPr id="1078" name="Chart_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72</xdr:col>
      <xdr:colOff>0</xdr:colOff>
      <xdr:row>102</xdr:row>
      <xdr:rowOff>0</xdr:rowOff>
    </xdr:from>
    <xdr:to>
      <xdr:col>79</xdr:col>
      <xdr:colOff>0</xdr:colOff>
      <xdr:row>122</xdr:row>
      <xdr:rowOff>0</xdr:rowOff>
    </xdr:to>
    <xdr:graphicFrame macro="">
      <xdr:nvGraphicFramePr>
        <xdr:cNvPr id="1079" name="Chart_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102</xdr:row>
      <xdr:rowOff>0</xdr:rowOff>
    </xdr:from>
    <xdr:to>
      <xdr:col>88</xdr:col>
      <xdr:colOff>1</xdr:colOff>
      <xdr:row>122</xdr:row>
      <xdr:rowOff>0</xdr:rowOff>
    </xdr:to>
    <xdr:graphicFrame macro="">
      <xdr:nvGraphicFramePr>
        <xdr:cNvPr id="1080" name="Chart_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90</xdr:col>
      <xdr:colOff>0</xdr:colOff>
      <xdr:row>103</xdr:row>
      <xdr:rowOff>0</xdr:rowOff>
    </xdr:from>
    <xdr:to>
      <xdr:col>97</xdr:col>
      <xdr:colOff>0</xdr:colOff>
      <xdr:row>123</xdr:row>
      <xdr:rowOff>0</xdr:rowOff>
    </xdr:to>
    <xdr:graphicFrame macro="">
      <xdr:nvGraphicFramePr>
        <xdr:cNvPr id="1081" name="Chart_10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99</xdr:col>
      <xdr:colOff>0</xdr:colOff>
      <xdr:row>102</xdr:row>
      <xdr:rowOff>0</xdr:rowOff>
    </xdr:from>
    <xdr:to>
      <xdr:col>106</xdr:col>
      <xdr:colOff>1</xdr:colOff>
      <xdr:row>122</xdr:row>
      <xdr:rowOff>0</xdr:rowOff>
    </xdr:to>
    <xdr:graphicFrame macro="">
      <xdr:nvGraphicFramePr>
        <xdr:cNvPr id="1082" name="Chart_1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1" xr16:uid="{54EE94AB-2075-40A7-8693-E961FF1F3B74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" connectionId="1" xr16:uid="{18B611E1-68BD-4390-9911-CD3C032D78EE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connectionId="1" xr16:uid="{2066F410-0705-4188-9FF0-6FD8F6EA1F7C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" connectionId="1" xr16:uid="{0E1A092B-373D-4852-A3FB-BF02C1790639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" connectionId="1" xr16:uid="{AD4C5022-A083-4D67-A2B6-E1DD87ED63C6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" connectionId="1" xr16:uid="{FB66FBCD-DC2A-4BC9-B2C9-96787DCE4494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" connectionId="1" xr16:uid="{567F76EC-25E3-4111-B1E3-5E23AC5131CE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" connectionId="1" xr16:uid="{38541882-8FCF-4115-8724-0133C0B8CB3D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" connectionId="1" xr16:uid="{63FAC4FC-C3FA-44D0-8169-83A9FAB54BE1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" connectionId="1" xr16:uid="{781F48FD-CF66-4AE8-8F4D-5F4BD2E0B291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" connectionId="1" xr16:uid="{4508381B-CFF4-4CFE-87A5-43AC511A191D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1" xr16:uid="{00000000-0016-0000-0100-00000C000000}" autoFormatId="16" applyNumberFormats="0" applyBorderFormats="0" applyFontFormats="1" applyPatternFormats="1" applyAlignmentFormats="0" applyWidthHeightFormats="0">
  <queryTableRefresh nextId="3">
    <queryTableFields count="2">
      <queryTableField id="1" name="股票代號" tableColumnId="3"/>
      <queryTableField id="2" name="上市公司之名稱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2FFB05-1B53-4C89-A78F-DAC96D439877}" name="投資組合" displayName="投資組合" ref="A1:B12" totalsRowShown="0">
  <autoFilter ref="A1:B12" xr:uid="{97AF4586-95E3-4C9D-B21B-E1A278DB51BE}"/>
  <tableColumns count="2">
    <tableColumn id="1" xr3:uid="{4AEDF587-10BD-4897-BE51-A48F29D81431}" name="投資組合" dataDxfId="25"/>
    <tableColumn id="2" xr3:uid="{AD0E1F77-E460-4B44-9100-DB499CFA13EA}" name="公司名稱" dataDxfId="24">
      <calculatedColumnFormula>VLOOKUP(投資組合[[#This Row],[投資組合]],上市公司列表!$A$2:$B$1912,2,0)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BDC6CFE1-5A20-4744-80FD-09B7B5C697D0}" name="Table_1" displayName="Table_1" ref="J2:P102" tableType="queryTable" totalsRowShown="0">
  <autoFilter ref="J2:P102" xr:uid="{4066CDBB-EC01-4E7D-892F-3B44931F97D4}"/>
  <sortState ref="J3:P95">
    <sortCondition ref="J2"/>
  </sortState>
  <tableColumns count="7">
    <tableColumn id="8" xr3:uid="{D79F696D-37CB-4050-BED1-EFC066D5680F}" uniqueName="8" name="日期" queryTableFieldId="1" dataDxfId="23"/>
    <tableColumn id="9" xr3:uid="{3EEE799F-5FCF-4DA2-BEB8-C4FE3FC203E7}" uniqueName="9" name="開市" queryTableFieldId="2"/>
    <tableColumn id="10" xr3:uid="{7B4F3CC9-6EC4-499C-A27C-CEF046A91F59}" uniqueName="10" name="最高" queryTableFieldId="3"/>
    <tableColumn id="11" xr3:uid="{8A8D4AB0-BD5A-4960-B13F-7B7C92C98878}" uniqueName="11" name="最低" queryTableFieldId="4"/>
    <tableColumn id="12" xr3:uid="{AF971C1C-9F69-4396-B2C5-E4E66F79950F}" uniqueName="12" name="收市" queryTableFieldId="5"/>
    <tableColumn id="13" xr3:uid="{BEEE9734-7DD0-44B0-BFCE-260B92008F2A}" uniqueName="13" name="經調整收市價" queryTableFieldId="6"/>
    <tableColumn id="14" xr3:uid="{4504C573-FBF7-4165-98AA-F8DFDEE78CFF}" uniqueName="14" name="成交量" queryTableFieldId="7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B6A45CF-2A41-487B-991A-E8ECE0F4294C}" name="Table_2" displayName="Table_2" ref="S2:Y101" tableType="queryTable" totalsRowShown="0">
  <autoFilter ref="S2:Y101" xr:uid="{D019DE24-BA38-4DCA-9E36-5B39FBD1E605}"/>
  <sortState ref="S3:Y95">
    <sortCondition ref="S2"/>
  </sortState>
  <tableColumns count="7">
    <tableColumn id="8" xr3:uid="{8F82E6C0-4201-4C7C-A6D9-11CAD45DBC37}" uniqueName="8" name="日期" queryTableFieldId="1" dataDxfId="21"/>
    <tableColumn id="9" xr3:uid="{01991A87-9157-4D01-B2DE-143851475B14}" uniqueName="9" name="開市" queryTableFieldId="2"/>
    <tableColumn id="10" xr3:uid="{5EE44B4F-AE20-4074-B6EC-ABC2662E9270}" uniqueName="10" name="最高" queryTableFieldId="3"/>
    <tableColumn id="11" xr3:uid="{BDAE620D-4082-4C8C-BBBE-3AF84D2915EE}" uniqueName="11" name="最低" queryTableFieldId="4"/>
    <tableColumn id="12" xr3:uid="{20A4BE05-477E-4C97-AC40-179E1B24F984}" uniqueName="12" name="收市" queryTableFieldId="5"/>
    <tableColumn id="13" xr3:uid="{FA247961-F6FF-4E5E-8AFD-DDDD41A1744A}" uniqueName="13" name="經調整收市價" queryTableFieldId="6"/>
    <tableColumn id="14" xr3:uid="{DF7BED39-D97B-43A5-AB79-7586A0CDF631}" uniqueName="14" name="成交量" queryTableFieldId="7" dataDxfId="2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970576CE-4F1E-474D-B602-C2FE80727B53}" name="Table_3" displayName="Table_3" ref="AB2:AH101" tableType="queryTable" totalsRowShown="0">
  <autoFilter ref="AB2:AH101" xr:uid="{66DC247E-1DC9-486E-8A22-DBDE76ACF21D}"/>
  <sortState ref="AB3:AH96">
    <sortCondition ref="AB2"/>
  </sortState>
  <tableColumns count="7">
    <tableColumn id="8" xr3:uid="{9E4E5BF4-6499-4080-A2B1-95DFB75E4E78}" uniqueName="8" name="日期" queryTableFieldId="1" dataDxfId="19"/>
    <tableColumn id="9" xr3:uid="{77627308-3056-4668-BDE3-97270B58C39B}" uniqueName="9" name="開市" queryTableFieldId="2"/>
    <tableColumn id="10" xr3:uid="{472866CC-59F0-4C23-BF59-05870AB94A36}" uniqueName="10" name="最高" queryTableFieldId="3"/>
    <tableColumn id="11" xr3:uid="{329333F2-5173-488E-918D-38FC6A97E284}" uniqueName="11" name="最低" queryTableFieldId="4"/>
    <tableColumn id="12" xr3:uid="{61CE1FFF-D219-433E-9A5A-5E782EF03344}" uniqueName="12" name="收市" queryTableFieldId="5"/>
    <tableColumn id="13" xr3:uid="{E6BA4DDE-17B3-46F8-B9D4-ADDEA9FCD1A9}" uniqueName="13" name="經調整收市價" queryTableFieldId="6"/>
    <tableColumn id="14" xr3:uid="{B61B2D09-E92B-44C0-8145-477FDEF2F1BE}" uniqueName="14" name="成交量" queryTableFieldId="7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27DC9634-3A86-4F7B-BC4A-8702E53F8D9A}" name="Table_4" displayName="Table_4" ref="AK2:AQ101" tableType="queryTable" totalsRowShown="0">
  <autoFilter ref="AK2:AQ101" xr:uid="{5EEB2E6C-516B-4E54-882A-E9C33FE107BF}"/>
  <sortState ref="AK3:AQ97">
    <sortCondition ref="AK2"/>
  </sortState>
  <tableColumns count="7">
    <tableColumn id="8" xr3:uid="{25E197B4-9C99-41FD-8820-6CF2C6254961}" uniqueName="8" name="日期" queryTableFieldId="1" dataDxfId="17"/>
    <tableColumn id="9" xr3:uid="{A240B512-7631-4FD8-AA3A-706104F28D73}" uniqueName="9" name="開市" queryTableFieldId="2"/>
    <tableColumn id="10" xr3:uid="{66FFE69B-3A7E-4280-B427-F20EC8294071}" uniqueName="10" name="最高" queryTableFieldId="3"/>
    <tableColumn id="11" xr3:uid="{6DA4122C-FEE0-40E6-B6E8-EF78A8C8CE5E}" uniqueName="11" name="最低" queryTableFieldId="4"/>
    <tableColumn id="12" xr3:uid="{C75291A5-B476-4E7C-8D6B-FD8A848016C8}" uniqueName="12" name="收市" queryTableFieldId="5"/>
    <tableColumn id="13" xr3:uid="{6F3B49D7-1F08-4C18-A052-4B40B19B72FC}" uniqueName="13" name="經調整收市價" queryTableFieldId="6"/>
    <tableColumn id="14" xr3:uid="{EDF4564D-87DF-4CB4-9B0D-01F3FA1DB5CF}" uniqueName="14" name="成交量" queryTableFieldId="7" dataDxfId="1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6BB2F3D2-C727-48C2-B1EB-0D9D3E9B1D13}" name="Table_5" displayName="Table_5" ref="AT2:AZ101" tableType="queryTable" totalsRowShown="0">
  <autoFilter ref="AT2:AZ101" xr:uid="{AF4E4AA4-6C27-42ED-9001-DA4AF07DEC8F}"/>
  <sortState ref="AT3:AZ98">
    <sortCondition ref="AT2"/>
  </sortState>
  <tableColumns count="7">
    <tableColumn id="8" xr3:uid="{BCE52933-EE9F-4B4A-8726-B4E8753A13E5}" uniqueName="8" name="日期" queryTableFieldId="1" dataDxfId="15"/>
    <tableColumn id="9" xr3:uid="{39E2BAB4-882C-4A39-BA3D-A996D5199F36}" uniqueName="9" name="開市" queryTableFieldId="2"/>
    <tableColumn id="10" xr3:uid="{754BAB08-6F0A-4556-A249-B374038AB6E9}" uniqueName="10" name="最高" queryTableFieldId="3"/>
    <tableColumn id="11" xr3:uid="{E4ED70D7-FA49-4381-821F-B3B671B2807F}" uniqueName="11" name="最低" queryTableFieldId="4"/>
    <tableColumn id="12" xr3:uid="{E7DC532D-3D9D-49FF-B2A5-2C5297661B65}" uniqueName="12" name="收市" queryTableFieldId="5"/>
    <tableColumn id="13" xr3:uid="{5D00B3CF-F425-4E85-A1CB-7474D0940A55}" uniqueName="13" name="經調整收市價" queryTableFieldId="6"/>
    <tableColumn id="14" xr3:uid="{008AC8BF-CE49-4DE6-A3A5-E564FEEA19E2}" uniqueName="14" name="成交量" queryTableFieldId="7" dataDxf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8BAFB447-2D8E-4098-B4B1-B0D4B1B93D7C}" name="Table_6" displayName="Table_6" ref="BC2:BI102" tableType="queryTable" totalsRowShown="0">
  <autoFilter ref="BC2:BI102" xr:uid="{D7BC6016-384B-4166-8A27-307B0E088855}"/>
  <sortState ref="BC3:BI98">
    <sortCondition ref="BC2"/>
  </sortState>
  <tableColumns count="7">
    <tableColumn id="8" xr3:uid="{413742FC-1528-44A3-A11D-0672969762DC}" uniqueName="8" name="日期" queryTableFieldId="1" dataDxfId="13"/>
    <tableColumn id="9" xr3:uid="{71D0EC8C-B175-477B-8E99-E5BDD64E05BD}" uniqueName="9" name="開市" queryTableFieldId="2"/>
    <tableColumn id="10" xr3:uid="{7A67DF0A-9FC6-4DBC-B358-66A596EFC865}" uniqueName="10" name="最高" queryTableFieldId="3"/>
    <tableColumn id="11" xr3:uid="{78B7A53F-D02F-4CE8-93FD-EC497E02873C}" uniqueName="11" name="最低" queryTableFieldId="4"/>
    <tableColumn id="12" xr3:uid="{27BD7DB8-B7E6-4BFC-B3B5-C55C907131B8}" uniqueName="12" name="收市" queryTableFieldId="5"/>
    <tableColumn id="13" xr3:uid="{A09C364A-21B4-4DEB-8B69-B3293E2E6149}" uniqueName="13" name="經調整收市價" queryTableFieldId="6"/>
    <tableColumn id="14" xr3:uid="{3D75AF44-36AC-4F96-B5F8-676C04BD295C}" uniqueName="14" name="成交量" queryTableFieldId="7" dataDxf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CEE2CB0-6D4F-4C89-AB8C-783AC85CFB74}" name="Table_7" displayName="Table_7" ref="BL2:BR101" tableType="queryTable" totalsRowShown="0">
  <autoFilter ref="BL2:BR101" xr:uid="{46C4E379-126D-49F3-BC04-922C97E3B03E}"/>
  <sortState ref="BL3:BR98">
    <sortCondition ref="BL2"/>
  </sortState>
  <tableColumns count="7">
    <tableColumn id="8" xr3:uid="{6BA42C10-CF36-47EF-8DFA-51BAEE208D92}" uniqueName="8" name="日期" queryTableFieldId="1" dataDxfId="11"/>
    <tableColumn id="9" xr3:uid="{10BB2E5C-A35E-4B7A-B0C2-EF2D81683803}" uniqueName="9" name="開市" queryTableFieldId="2"/>
    <tableColumn id="10" xr3:uid="{3F4C0363-C1DA-45A9-8A2E-C805EABA97EF}" uniqueName="10" name="最高" queryTableFieldId="3"/>
    <tableColumn id="11" xr3:uid="{0BA0C5E3-C46A-43DE-89B7-068ED6F125F8}" uniqueName="11" name="最低" queryTableFieldId="4"/>
    <tableColumn id="12" xr3:uid="{29E86630-2365-44F0-A01A-A057AE33581D}" uniqueName="12" name="收市" queryTableFieldId="5"/>
    <tableColumn id="13" xr3:uid="{294F6176-5051-4C92-B579-8657F98194F2}" uniqueName="13" name="經調整收市價" queryTableFieldId="6"/>
    <tableColumn id="14" xr3:uid="{F52B7015-A489-42E3-B1FD-560C9F0B5BD1}" uniqueName="14" name="成交量" queryTableFieldId="7" dataDxf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52C71FFC-A904-4C9D-977E-8ACDAC87A1BC}" name="Table_8" displayName="Table_8" ref="BU2:CA101" tableType="queryTable" totalsRowShown="0">
  <autoFilter ref="BU2:CA101" xr:uid="{D5523C88-8DE3-4EEF-80C6-9445CE4269E3}"/>
  <sortState ref="BU3:CA99">
    <sortCondition ref="BU2"/>
  </sortState>
  <tableColumns count="7">
    <tableColumn id="8" xr3:uid="{5CD5D317-E474-4C20-99E8-CBA781F5A372}" uniqueName="8" name="日期" queryTableFieldId="1" dataDxfId="9"/>
    <tableColumn id="9" xr3:uid="{39726133-21A2-4D13-9EDB-33A9CE27C5B3}" uniqueName="9" name="開市" queryTableFieldId="2"/>
    <tableColumn id="10" xr3:uid="{4DD9B9C2-1D97-4282-BE24-8F4D2763B6C6}" uniqueName="10" name="最高" queryTableFieldId="3"/>
    <tableColumn id="11" xr3:uid="{F33BCEDF-27A6-4ED7-99F3-D386985C8BF0}" uniqueName="11" name="最低" queryTableFieldId="4"/>
    <tableColumn id="12" xr3:uid="{C38D7EC4-CB87-4A28-971E-0929A5BE97D8}" uniqueName="12" name="收市" queryTableFieldId="5"/>
    <tableColumn id="13" xr3:uid="{E3BBAAB0-167A-4EF1-9096-957B6F1FD978}" uniqueName="13" name="經調整收市價" queryTableFieldId="6"/>
    <tableColumn id="14" xr3:uid="{F28C1797-4632-4795-B3C0-73E4CC7ED01C}" uniqueName="14" name="成交量" queryTableFieldId="7" dataDxfId="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D23B4EC-480D-4E04-A7FA-435584D946C7}" name="Table_9" displayName="Table_9" ref="CD2:CJ101" tableType="queryTable" totalsRowShown="0">
  <autoFilter ref="CD2:CJ101" xr:uid="{6E6E1D2F-D36F-4EEC-A5BF-3A081D249A01}"/>
  <sortState ref="CD3:CJ100">
    <sortCondition ref="CD2"/>
  </sortState>
  <tableColumns count="7">
    <tableColumn id="8" xr3:uid="{BE00651C-428C-471C-A950-94F7399313C2}" uniqueName="8" name="日期" queryTableFieldId="1" dataDxfId="7"/>
    <tableColumn id="9" xr3:uid="{E22480CE-DB45-4499-98A6-216AA0FD22EB}" uniqueName="9" name="開市" queryTableFieldId="2"/>
    <tableColumn id="10" xr3:uid="{A52E5CC2-1672-45A1-90A8-D1F562B033DE}" uniqueName="10" name="最高" queryTableFieldId="3"/>
    <tableColumn id="11" xr3:uid="{FD8A481B-FBFB-48CE-A3FC-D8185BF9BB64}" uniqueName="11" name="最低" queryTableFieldId="4"/>
    <tableColumn id="12" xr3:uid="{974B13FC-481F-4B26-B2E9-7FD7DCC2B89D}" uniqueName="12" name="收市" queryTableFieldId="5"/>
    <tableColumn id="13" xr3:uid="{602391B0-AF1B-4D80-9B0E-DEEC4172EEEA}" uniqueName="13" name="經調整收市價" queryTableFieldId="6"/>
    <tableColumn id="14" xr3:uid="{16808A0F-0CFA-4731-BCCA-2F4E8817F55A}" uniqueName="14" name="成交量" queryTableFieldId="7" dataDxf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C6958E6C-9224-438C-BC70-85C587062325}" name="Table_10" displayName="Table_10" ref="CM2:CS102" tableType="queryTable" totalsRowShown="0">
  <autoFilter ref="CM2:CS102" xr:uid="{D6A74C69-D444-430C-9912-D1E686186738}"/>
  <sortState ref="CM3:CS101">
    <sortCondition ref="CM2"/>
  </sortState>
  <tableColumns count="7">
    <tableColumn id="8" xr3:uid="{313A4524-6667-49A3-A88B-52544BEEB025}" uniqueName="8" name="日期" queryTableFieldId="1" dataDxfId="5"/>
    <tableColumn id="9" xr3:uid="{0277FAF9-6AD5-4752-87A9-9415373625A8}" uniqueName="9" name="開市" queryTableFieldId="2"/>
    <tableColumn id="10" xr3:uid="{3CB067B7-8BB3-478E-BCAB-B621A14B32A7}" uniqueName="10" name="最高" queryTableFieldId="3"/>
    <tableColumn id="11" xr3:uid="{C542FFFC-CAAA-4C36-97FB-2D44DF1A6D59}" uniqueName="11" name="最低" queryTableFieldId="4"/>
    <tableColumn id="12" xr3:uid="{6ACCAF79-3EC9-4758-A156-42991F3C4173}" uniqueName="12" name="收市" queryTableFieldId="5"/>
    <tableColumn id="13" xr3:uid="{710B3F9A-2962-4014-ADCC-C38AFBF990A9}" uniqueName="13" name="經調整收市價" queryTableFieldId="6"/>
    <tableColumn id="14" xr3:uid="{AFBE48A0-3DFD-4210-AAC7-10F8EC6AE079}" uniqueName="14" name="成交量" queryTableFieldId="7" dataDxfId="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8972B1A2-95BA-4698-BE92-4D465D3CFEE1}" name="Table_11" displayName="Table_11" ref="CV2:DB101" tableType="queryTable" totalsRowShown="0">
  <autoFilter ref="CV2:DB101" xr:uid="{7021A81B-3DC3-4C07-AB64-6045BAFB505B}"/>
  <sortState ref="CV3:DB101">
    <sortCondition ref="CV2"/>
  </sortState>
  <tableColumns count="7">
    <tableColumn id="8" xr3:uid="{B7E895C8-7BB3-45BB-9BEE-581AC6B53CB0}" uniqueName="8" name="日期" queryTableFieldId="1" dataDxfId="3"/>
    <tableColumn id="9" xr3:uid="{735379B3-EA95-4CB2-B698-89B0C6B768F8}" uniqueName="9" name="開市" queryTableFieldId="2"/>
    <tableColumn id="10" xr3:uid="{04423B9A-BF01-4FB1-9E63-BE92CF52D036}" uniqueName="10" name="最高" queryTableFieldId="3"/>
    <tableColumn id="11" xr3:uid="{A54AB701-AD13-4E14-B67C-70D58CD156EE}" uniqueName="11" name="最低" queryTableFieldId="4"/>
    <tableColumn id="12" xr3:uid="{69E95355-B12B-40A8-8444-30C032636032}" uniqueName="12" name="收市" queryTableFieldId="5"/>
    <tableColumn id="13" xr3:uid="{108673E0-3470-49B9-B434-FCC7BB423CC4}" uniqueName="13" name="經調整收市價" queryTableFieldId="6"/>
    <tableColumn id="14" xr3:uid="{EDC6F727-4FD5-443D-8DB6-BA1AE8789DC2}" uniqueName="14" name="成交量" queryTableFieldId="7" dataDxfId="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5B0F38-1B77-4DFA-9FBE-E5D7CF7D077F}" name="上市公司列表" displayName="上市公司列表" ref="A1:B1913" tableType="queryTable" totalsRowShown="0">
  <autoFilter ref="A1:B1913" xr:uid="{271A1886-F130-4ED9-A0BF-967D312AC8C0}"/>
  <tableColumns count="2">
    <tableColumn id="3" xr3:uid="{B013DA30-4160-4FA8-A861-0682924CB5A4}" uniqueName="3" name="股票代號" queryTableFieldId="1" dataDxfId="1"/>
    <tableColumn id="4" xr3:uid="{3992C32D-8B64-4432-95A8-83D06C9DAE83}" uniqueName="4" name="上市公司之名稱" queryTableFieldId="2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自訂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Microsoft JhengHei UI">
      <a:majorFont>
        <a:latin typeface="Microsoft JhengHei UI"/>
        <a:ea typeface="微軟正黑體"/>
        <a:cs typeface=""/>
      </a:majorFont>
      <a:minorFont>
        <a:latin typeface="Microsoft JhengHei UI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17" Type="http://schemas.openxmlformats.org/officeDocument/2006/relationships/table" Target="../tables/table1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Relationship Id="rId14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23521-C411-44AD-9B57-A0EBA394BC94}">
  <sheetPr codeName="工作表2"/>
  <dimension ref="A1:DB102"/>
  <sheetViews>
    <sheetView tabSelected="1" workbookViewId="0"/>
  </sheetViews>
  <sheetFormatPr defaultRowHeight="13.15" x14ac:dyDescent="0.4"/>
  <cols>
    <col min="1" max="1" width="9" style="1"/>
    <col min="2" max="2" width="26.4375" bestFit="1" customWidth="1"/>
    <col min="10" max="10" width="13.3125" customWidth="1"/>
    <col min="11" max="13" width="6.75" customWidth="1"/>
    <col min="14" max="14" width="7" customWidth="1"/>
    <col min="15" max="15" width="18.375" customWidth="1"/>
    <col min="16" max="16" width="12.375" customWidth="1"/>
    <col min="18" max="18" width="9" customWidth="1"/>
    <col min="19" max="19" width="13.3125" customWidth="1"/>
    <col min="20" max="23" width="8.25" customWidth="1"/>
    <col min="24" max="24" width="18.375" customWidth="1"/>
    <col min="25" max="25" width="13.875" customWidth="1"/>
    <col min="26" max="27" width="9" customWidth="1"/>
    <col min="28" max="28" width="13.3125" customWidth="1"/>
    <col min="29" max="31" width="6.75" customWidth="1"/>
    <col min="32" max="32" width="7" customWidth="1"/>
    <col min="33" max="33" width="18.375" customWidth="1"/>
    <col min="34" max="34" width="15.375" customWidth="1"/>
    <col min="35" max="36" width="9" customWidth="1"/>
    <col min="37" max="37" width="13.3125" customWidth="1"/>
    <col min="38" max="40" width="6.75" customWidth="1"/>
    <col min="41" max="41" width="7" customWidth="1"/>
    <col min="42" max="42" width="18.375" customWidth="1"/>
    <col min="43" max="43" width="13.875" customWidth="1"/>
    <col min="44" max="45" width="9" customWidth="1"/>
    <col min="46" max="46" width="13.3125" customWidth="1"/>
    <col min="47" max="49" width="6.75" customWidth="1"/>
    <col min="50" max="50" width="7" customWidth="1"/>
    <col min="51" max="51" width="18.375" customWidth="1"/>
    <col min="52" max="52" width="17.5" customWidth="1"/>
    <col min="53" max="54" width="9" customWidth="1"/>
    <col min="55" max="55" width="13.3125" customWidth="1"/>
    <col min="56" max="58" width="6.75" customWidth="1"/>
    <col min="59" max="59" width="7" customWidth="1"/>
    <col min="60" max="60" width="18.375" customWidth="1"/>
    <col min="61" max="61" width="13.875" customWidth="1"/>
    <col min="62" max="63" width="9" customWidth="1"/>
    <col min="64" max="64" width="13.3125" customWidth="1"/>
    <col min="65" max="67" width="6.75" customWidth="1"/>
    <col min="68" max="68" width="7" customWidth="1"/>
    <col min="69" max="69" width="18.375" customWidth="1"/>
    <col min="70" max="70" width="13.875" customWidth="1"/>
    <col min="71" max="72" width="9" customWidth="1"/>
    <col min="73" max="73" width="13.3125" customWidth="1"/>
    <col min="74" max="76" width="6.75" customWidth="1"/>
    <col min="77" max="77" width="7" customWidth="1"/>
    <col min="78" max="78" width="18.375" customWidth="1"/>
    <col min="79" max="79" width="13" customWidth="1"/>
    <col min="80" max="80" width="9" customWidth="1"/>
    <col min="82" max="82" width="13.3125" customWidth="1"/>
    <col min="83" max="85" width="6.75" customWidth="1"/>
    <col min="86" max="86" width="7" customWidth="1"/>
    <col min="87" max="87" width="18.375" customWidth="1"/>
    <col min="88" max="88" width="14.5" customWidth="1"/>
    <col min="90" max="90" width="9" customWidth="1"/>
    <col min="91" max="91" width="13.3125" customWidth="1"/>
    <col min="92" max="94" width="6.75" customWidth="1"/>
    <col min="95" max="95" width="7" customWidth="1"/>
    <col min="96" max="96" width="18.375" customWidth="1"/>
    <col min="97" max="97" width="13.875" customWidth="1"/>
    <col min="98" max="99" width="9" customWidth="1"/>
    <col min="100" max="100" width="13.3125" customWidth="1"/>
    <col min="101" max="104" width="8.25" customWidth="1"/>
    <col min="105" max="105" width="18.375" customWidth="1"/>
    <col min="106" max="106" width="13.875" customWidth="1"/>
    <col min="109" max="115" width="9" customWidth="1"/>
  </cols>
  <sheetData>
    <row r="1" spans="1:106" ht="13.5" x14ac:dyDescent="0.45">
      <c r="A1" s="1" t="s">
        <v>12</v>
      </c>
      <c r="B1" t="s">
        <v>4722</v>
      </c>
      <c r="J1" s="8" t="str">
        <f t="shared" ref="J1" si="0">CONCATENATE("0238"," ","長興國際(集團)控股有限公司")</f>
        <v>0238 長興國際(集團)控股有限公司</v>
      </c>
      <c r="K1" s="8"/>
      <c r="L1" s="8"/>
      <c r="M1" s="8"/>
      <c r="N1" s="8"/>
      <c r="O1" s="8"/>
      <c r="P1" s="8"/>
      <c r="S1" s="8" t="str">
        <f t="shared" ref="S1" si="1">CONCATENATE("0316"," ","東方海外(國際)有限公司")</f>
        <v>0316 東方海外(國際)有限公司</v>
      </c>
      <c r="T1" s="8"/>
      <c r="U1" s="8"/>
      <c r="V1" s="8"/>
      <c r="W1" s="8"/>
      <c r="X1" s="8"/>
      <c r="Y1" s="8"/>
      <c r="AB1" s="8" t="str">
        <f t="shared" ref="AB1" si="2">CONCATENATE("0494"," ","利豐有限公司")</f>
        <v>0494 利豐有限公司</v>
      </c>
      <c r="AC1" s="8"/>
      <c r="AD1" s="8"/>
      <c r="AE1" s="8"/>
      <c r="AF1" s="8"/>
      <c r="AG1" s="8"/>
      <c r="AH1" s="8"/>
      <c r="AK1" s="8" t="str">
        <f t="shared" ref="AK1" si="3">CONCATENATE("0880"," ","澳門博彩控股有限公司")</f>
        <v>0880 澳門博彩控股有限公司</v>
      </c>
      <c r="AL1" s="8"/>
      <c r="AM1" s="8"/>
      <c r="AN1" s="8"/>
      <c r="AO1" s="8"/>
      <c r="AP1" s="8"/>
      <c r="AQ1" s="8"/>
      <c r="AT1" s="8" t="str">
        <f t="shared" ref="AT1" si="4">CONCATENATE("0956"," ","新天綠色能源股份有限公司")</f>
        <v>0956 新天綠色能源股份有限公司</v>
      </c>
      <c r="AU1" s="8"/>
      <c r="AV1" s="8"/>
      <c r="AW1" s="8"/>
      <c r="AX1" s="8"/>
      <c r="AY1" s="8"/>
      <c r="AZ1" s="8"/>
      <c r="BC1" s="8" t="str">
        <f t="shared" ref="BC1" si="5">CONCATENATE("1023"," ","時代集團控股有限公司")</f>
        <v>1023 時代集團控股有限公司</v>
      </c>
      <c r="BD1" s="8"/>
      <c r="BE1" s="8"/>
      <c r="BF1" s="8"/>
      <c r="BG1" s="8"/>
      <c r="BH1" s="8"/>
      <c r="BI1" s="8"/>
      <c r="BL1" s="8" t="str">
        <f t="shared" ref="BL1" si="6">CONCATENATE("1199"," ","中遠海運港口有限公司")</f>
        <v>1199 中遠海運港口有限公司</v>
      </c>
      <c r="BM1" s="8"/>
      <c r="BN1" s="8"/>
      <c r="BO1" s="8"/>
      <c r="BP1" s="8"/>
      <c r="BQ1" s="8"/>
      <c r="BR1" s="8"/>
      <c r="BU1" s="8" t="str">
        <f t="shared" ref="BU1" si="7">CONCATENATE("1314"," ","翠華控股有限公司")</f>
        <v>1314 翠華控股有限公司</v>
      </c>
      <c r="BV1" s="8"/>
      <c r="BW1" s="8"/>
      <c r="BX1" s="8"/>
      <c r="BY1" s="8"/>
      <c r="BZ1" s="8"/>
      <c r="CA1" s="8"/>
      <c r="CD1" s="8" t="str">
        <f t="shared" ref="CD1" si="8">CONCATENATE("1818"," ","招金礦業股份有限公司")</f>
        <v>1818 招金礦業股份有限公司</v>
      </c>
      <c r="CE1" s="8"/>
      <c r="CF1" s="8"/>
      <c r="CG1" s="8"/>
      <c r="CH1" s="8"/>
      <c r="CI1" s="8"/>
      <c r="CJ1" s="8"/>
      <c r="CM1" s="8" t="str">
        <f t="shared" ref="CM1" si="9">CONCATENATE("2233"," ","中國西部水泥有限公司")</f>
        <v>2233 中國西部水泥有限公司</v>
      </c>
      <c r="CN1" s="8"/>
      <c r="CO1" s="8"/>
      <c r="CP1" s="8"/>
      <c r="CQ1" s="8"/>
      <c r="CR1" s="8"/>
      <c r="CS1" s="8"/>
      <c r="CV1" s="8" t="str">
        <f t="shared" ref="CV1" si="10">CONCATENATE("2823"," ","iShares 安碩富時A50中國指數ETF")</f>
        <v>2823 iShares 安碩富時A50中國指數ETF</v>
      </c>
      <c r="CW1" s="8"/>
      <c r="CX1" s="8"/>
      <c r="CY1" s="8"/>
      <c r="CZ1" s="8"/>
      <c r="DA1" s="8"/>
      <c r="DB1" s="8"/>
    </row>
    <row r="2" spans="1:106" x14ac:dyDescent="0.4">
      <c r="A2" s="4" t="s">
        <v>11</v>
      </c>
      <c r="B2" t="str">
        <f>VLOOKUP(投資組合[[#This Row],[投資組合]],上市公司列表!$A$2:$B$1912,2,0)</f>
        <v>長興國際(集團)控股有限公司</v>
      </c>
      <c r="J2" t="s">
        <v>3825</v>
      </c>
      <c r="K2" t="s">
        <v>3826</v>
      </c>
      <c r="L2" t="s">
        <v>3827</v>
      </c>
      <c r="M2" t="s">
        <v>3828</v>
      </c>
      <c r="N2" t="s">
        <v>3899</v>
      </c>
      <c r="O2" t="s">
        <v>3900</v>
      </c>
      <c r="P2" t="s">
        <v>3829</v>
      </c>
      <c r="S2" t="s">
        <v>3825</v>
      </c>
      <c r="T2" t="s">
        <v>3826</v>
      </c>
      <c r="U2" t="s">
        <v>3827</v>
      </c>
      <c r="V2" t="s">
        <v>3828</v>
      </c>
      <c r="W2" t="s">
        <v>3899</v>
      </c>
      <c r="X2" t="s">
        <v>3900</v>
      </c>
      <c r="Y2" t="s">
        <v>3829</v>
      </c>
      <c r="AB2" t="s">
        <v>3825</v>
      </c>
      <c r="AC2" t="s">
        <v>3826</v>
      </c>
      <c r="AD2" t="s">
        <v>3827</v>
      </c>
      <c r="AE2" t="s">
        <v>3828</v>
      </c>
      <c r="AF2" t="s">
        <v>3899</v>
      </c>
      <c r="AG2" t="s">
        <v>3900</v>
      </c>
      <c r="AH2" t="s">
        <v>3829</v>
      </c>
      <c r="AK2" t="s">
        <v>3825</v>
      </c>
      <c r="AL2" t="s">
        <v>3826</v>
      </c>
      <c r="AM2" t="s">
        <v>3827</v>
      </c>
      <c r="AN2" t="s">
        <v>3828</v>
      </c>
      <c r="AO2" t="s">
        <v>3899</v>
      </c>
      <c r="AP2" t="s">
        <v>3900</v>
      </c>
      <c r="AQ2" t="s">
        <v>3829</v>
      </c>
      <c r="AT2" t="s">
        <v>3825</v>
      </c>
      <c r="AU2" t="s">
        <v>3826</v>
      </c>
      <c r="AV2" t="s">
        <v>3827</v>
      </c>
      <c r="AW2" t="s">
        <v>3828</v>
      </c>
      <c r="AX2" t="s">
        <v>3899</v>
      </c>
      <c r="AY2" t="s">
        <v>3900</v>
      </c>
      <c r="AZ2" t="s">
        <v>3829</v>
      </c>
      <c r="BC2" t="s">
        <v>3825</v>
      </c>
      <c r="BD2" t="s">
        <v>3826</v>
      </c>
      <c r="BE2" t="s">
        <v>3827</v>
      </c>
      <c r="BF2" t="s">
        <v>3828</v>
      </c>
      <c r="BG2" t="s">
        <v>3899</v>
      </c>
      <c r="BH2" t="s">
        <v>3900</v>
      </c>
      <c r="BI2" t="s">
        <v>3829</v>
      </c>
      <c r="BL2" t="s">
        <v>3825</v>
      </c>
      <c r="BM2" t="s">
        <v>3826</v>
      </c>
      <c r="BN2" t="s">
        <v>3827</v>
      </c>
      <c r="BO2" t="s">
        <v>3828</v>
      </c>
      <c r="BP2" t="s">
        <v>3899</v>
      </c>
      <c r="BQ2" t="s">
        <v>3900</v>
      </c>
      <c r="BR2" t="s">
        <v>3829</v>
      </c>
      <c r="BU2" t="s">
        <v>3825</v>
      </c>
      <c r="BV2" t="s">
        <v>3826</v>
      </c>
      <c r="BW2" t="s">
        <v>3827</v>
      </c>
      <c r="BX2" t="s">
        <v>3828</v>
      </c>
      <c r="BY2" t="s">
        <v>3899</v>
      </c>
      <c r="BZ2" t="s">
        <v>3900</v>
      </c>
      <c r="CA2" t="s">
        <v>3829</v>
      </c>
      <c r="CD2" t="s">
        <v>3825</v>
      </c>
      <c r="CE2" t="s">
        <v>3826</v>
      </c>
      <c r="CF2" t="s">
        <v>3827</v>
      </c>
      <c r="CG2" t="s">
        <v>3828</v>
      </c>
      <c r="CH2" t="s">
        <v>3899</v>
      </c>
      <c r="CI2" t="s">
        <v>3900</v>
      </c>
      <c r="CJ2" t="s">
        <v>3829</v>
      </c>
      <c r="CM2" t="s">
        <v>3825</v>
      </c>
      <c r="CN2" t="s">
        <v>3826</v>
      </c>
      <c r="CO2" t="s">
        <v>3827</v>
      </c>
      <c r="CP2" t="s">
        <v>3828</v>
      </c>
      <c r="CQ2" t="s">
        <v>3899</v>
      </c>
      <c r="CR2" t="s">
        <v>3900</v>
      </c>
      <c r="CS2" t="s">
        <v>3829</v>
      </c>
      <c r="CV2" t="s">
        <v>3825</v>
      </c>
      <c r="CW2" t="s">
        <v>3826</v>
      </c>
      <c r="CX2" t="s">
        <v>3827</v>
      </c>
      <c r="CY2" t="s">
        <v>3828</v>
      </c>
      <c r="CZ2" t="s">
        <v>3899</v>
      </c>
      <c r="DA2" t="s">
        <v>3900</v>
      </c>
      <c r="DB2" t="s">
        <v>3829</v>
      </c>
    </row>
    <row r="3" spans="1:106" x14ac:dyDescent="0.4">
      <c r="A3" s="5" t="s">
        <v>10</v>
      </c>
      <c r="B3" s="2" t="str">
        <f>VLOOKUP(投資組合[[#This Row],[投資組合]],上市公司列表!$A$2:$B$1912,2,0)</f>
        <v>東方海外(國際)有限公司</v>
      </c>
      <c r="J3" s="3">
        <v>42832</v>
      </c>
      <c r="K3">
        <v>0.8</v>
      </c>
      <c r="L3">
        <v>0.8</v>
      </c>
      <c r="M3">
        <v>0.8</v>
      </c>
      <c r="N3">
        <v>0.8</v>
      </c>
      <c r="O3">
        <v>0.8</v>
      </c>
      <c r="P3" s="2" t="s">
        <v>3840</v>
      </c>
      <c r="S3" s="3">
        <v>42835</v>
      </c>
      <c r="T3">
        <v>41</v>
      </c>
      <c r="U3">
        <v>41</v>
      </c>
      <c r="V3">
        <v>39</v>
      </c>
      <c r="W3">
        <v>39</v>
      </c>
      <c r="X3">
        <v>38.909999999999997</v>
      </c>
      <c r="Y3" s="2" t="s">
        <v>3983</v>
      </c>
      <c r="AB3" s="3">
        <v>42835</v>
      </c>
      <c r="AC3">
        <v>3.34</v>
      </c>
      <c r="AD3">
        <v>3.35</v>
      </c>
      <c r="AE3">
        <v>3.32</v>
      </c>
      <c r="AF3">
        <v>3.34</v>
      </c>
      <c r="AG3">
        <v>3.22</v>
      </c>
      <c r="AH3" s="2" t="s">
        <v>4066</v>
      </c>
      <c r="AK3" s="3">
        <v>42835</v>
      </c>
      <c r="AL3">
        <v>6.99</v>
      </c>
      <c r="AM3">
        <v>7.3</v>
      </c>
      <c r="AN3">
        <v>6.99</v>
      </c>
      <c r="AO3">
        <v>7.23</v>
      </c>
      <c r="AP3">
        <v>7.08</v>
      </c>
      <c r="AQ3" s="2" t="s">
        <v>4149</v>
      </c>
      <c r="AT3" s="3">
        <v>42835</v>
      </c>
      <c r="AU3">
        <v>1.69</v>
      </c>
      <c r="AV3">
        <v>1.72</v>
      </c>
      <c r="AW3">
        <v>1.62</v>
      </c>
      <c r="AX3">
        <v>1.63</v>
      </c>
      <c r="AY3">
        <v>1.55</v>
      </c>
      <c r="AZ3" s="2" t="s">
        <v>4232</v>
      </c>
      <c r="BC3" s="3">
        <v>42832</v>
      </c>
      <c r="BD3">
        <v>1.6</v>
      </c>
      <c r="BE3">
        <v>1.61</v>
      </c>
      <c r="BF3">
        <v>1.56</v>
      </c>
      <c r="BG3">
        <v>1.61</v>
      </c>
      <c r="BH3">
        <v>1.61</v>
      </c>
      <c r="BI3" s="2" t="s">
        <v>4308</v>
      </c>
      <c r="BL3" s="3">
        <v>42835</v>
      </c>
      <c r="BM3">
        <v>8.4700000000000006</v>
      </c>
      <c r="BN3">
        <v>8.4700000000000006</v>
      </c>
      <c r="BO3">
        <v>8.36</v>
      </c>
      <c r="BP3">
        <v>8.39</v>
      </c>
      <c r="BQ3">
        <v>8.31</v>
      </c>
      <c r="BR3" s="2" t="s">
        <v>4391</v>
      </c>
      <c r="BU3" s="3">
        <v>42835</v>
      </c>
      <c r="BV3">
        <v>1.24</v>
      </c>
      <c r="BW3">
        <v>1.24</v>
      </c>
      <c r="BX3">
        <v>1.22</v>
      </c>
      <c r="BY3">
        <v>1.24</v>
      </c>
      <c r="BZ3">
        <v>1.22</v>
      </c>
      <c r="CA3" s="2" t="s">
        <v>4460</v>
      </c>
      <c r="CD3" s="3">
        <v>42835</v>
      </c>
      <c r="CE3">
        <v>7</v>
      </c>
      <c r="CF3">
        <v>7</v>
      </c>
      <c r="CG3">
        <v>6.91</v>
      </c>
      <c r="CH3">
        <v>6.97</v>
      </c>
      <c r="CI3">
        <v>6.92</v>
      </c>
      <c r="CJ3" s="2" t="s">
        <v>4544</v>
      </c>
      <c r="CM3" s="3">
        <v>42832</v>
      </c>
      <c r="CN3">
        <v>1.1499999999999999</v>
      </c>
      <c r="CO3">
        <v>1.1599999999999999</v>
      </c>
      <c r="CP3">
        <v>1.1200000000000001</v>
      </c>
      <c r="CQ3">
        <v>1.1599999999999999</v>
      </c>
      <c r="CR3">
        <v>1.1599999999999999</v>
      </c>
      <c r="CS3" s="2" t="s">
        <v>4628</v>
      </c>
      <c r="CV3" s="3">
        <v>42832</v>
      </c>
      <c r="CW3">
        <v>11.32</v>
      </c>
      <c r="CX3">
        <v>11.36</v>
      </c>
      <c r="CY3">
        <v>11.28</v>
      </c>
      <c r="CZ3">
        <v>11.34</v>
      </c>
      <c r="DA3">
        <v>11.34</v>
      </c>
      <c r="DB3" s="2" t="s">
        <v>4711</v>
      </c>
    </row>
    <row r="4" spans="1:106" x14ac:dyDescent="0.4">
      <c r="A4" s="4" t="s">
        <v>9</v>
      </c>
      <c r="B4" s="2" t="str">
        <f>VLOOKUP(投資組合[[#This Row],[投資組合]],上市公司列表!$A$2:$B$1912,2,0)</f>
        <v>利豐有限公司</v>
      </c>
      <c r="J4" s="3">
        <v>42835</v>
      </c>
      <c r="K4">
        <v>0.8</v>
      </c>
      <c r="L4">
        <v>0.8</v>
      </c>
      <c r="M4">
        <v>0.78</v>
      </c>
      <c r="N4">
        <v>0.8</v>
      </c>
      <c r="O4">
        <v>0.8</v>
      </c>
      <c r="P4" s="2" t="s">
        <v>3873</v>
      </c>
      <c r="S4" s="3">
        <v>42836</v>
      </c>
      <c r="T4">
        <v>39</v>
      </c>
      <c r="U4">
        <v>38.9</v>
      </c>
      <c r="V4">
        <v>37.6</v>
      </c>
      <c r="W4">
        <v>38.25</v>
      </c>
      <c r="X4">
        <v>38.159999999999997</v>
      </c>
      <c r="Y4" s="2" t="s">
        <v>3982</v>
      </c>
      <c r="AB4" s="3">
        <v>42836</v>
      </c>
      <c r="AC4">
        <v>3.35</v>
      </c>
      <c r="AD4">
        <v>3.35</v>
      </c>
      <c r="AE4">
        <v>3.27</v>
      </c>
      <c r="AF4">
        <v>3.27</v>
      </c>
      <c r="AG4">
        <v>3.15</v>
      </c>
      <c r="AH4" s="2" t="s">
        <v>4065</v>
      </c>
      <c r="AK4" s="3">
        <v>42836</v>
      </c>
      <c r="AL4">
        <v>7.3</v>
      </c>
      <c r="AM4">
        <v>7.42</v>
      </c>
      <c r="AN4">
        <v>7.11</v>
      </c>
      <c r="AO4">
        <v>7.22</v>
      </c>
      <c r="AP4">
        <v>7.07</v>
      </c>
      <c r="AQ4" s="2" t="s">
        <v>4148</v>
      </c>
      <c r="AT4" s="3">
        <v>42836</v>
      </c>
      <c r="AU4">
        <v>1.64</v>
      </c>
      <c r="AV4">
        <v>1.7</v>
      </c>
      <c r="AW4">
        <v>1.64</v>
      </c>
      <c r="AX4">
        <v>1.68</v>
      </c>
      <c r="AY4">
        <v>1.6</v>
      </c>
      <c r="AZ4" s="2" t="s">
        <v>4231</v>
      </c>
      <c r="BC4" s="3">
        <v>42835</v>
      </c>
      <c r="BD4">
        <v>1.59</v>
      </c>
      <c r="BE4">
        <v>1.6</v>
      </c>
      <c r="BF4">
        <v>1.57</v>
      </c>
      <c r="BG4">
        <v>1.58</v>
      </c>
      <c r="BH4">
        <v>1.58</v>
      </c>
      <c r="BI4" s="2" t="s">
        <v>4307</v>
      </c>
      <c r="BL4" s="3">
        <v>42836</v>
      </c>
      <c r="BM4">
        <v>8.43</v>
      </c>
      <c r="BN4">
        <v>8.44</v>
      </c>
      <c r="BO4">
        <v>8.2799999999999994</v>
      </c>
      <c r="BP4">
        <v>8.32</v>
      </c>
      <c r="BQ4">
        <v>8.25</v>
      </c>
      <c r="BR4" s="2" t="s">
        <v>4390</v>
      </c>
      <c r="BU4" s="3">
        <v>42836</v>
      </c>
      <c r="BV4">
        <v>1.23</v>
      </c>
      <c r="BW4">
        <v>1.25</v>
      </c>
      <c r="BX4">
        <v>1.22</v>
      </c>
      <c r="BY4">
        <v>1.25</v>
      </c>
      <c r="BZ4">
        <v>1.23</v>
      </c>
      <c r="CA4" s="2" t="s">
        <v>4459</v>
      </c>
      <c r="CD4" s="3">
        <v>42836</v>
      </c>
      <c r="CE4">
        <v>7</v>
      </c>
      <c r="CF4">
        <v>7.26</v>
      </c>
      <c r="CG4">
        <v>6.91</v>
      </c>
      <c r="CH4">
        <v>7.13</v>
      </c>
      <c r="CI4">
        <v>7.08</v>
      </c>
      <c r="CJ4" s="2" t="s">
        <v>4543</v>
      </c>
      <c r="CM4" s="3">
        <v>42835</v>
      </c>
      <c r="CN4">
        <v>1.1599999999999999</v>
      </c>
      <c r="CO4">
        <v>1.17</v>
      </c>
      <c r="CP4">
        <v>1.1499999999999999</v>
      </c>
      <c r="CQ4">
        <v>1.1599999999999999</v>
      </c>
      <c r="CR4">
        <v>1.1599999999999999</v>
      </c>
      <c r="CS4" s="2" t="s">
        <v>4627</v>
      </c>
      <c r="CV4" s="3">
        <v>42835</v>
      </c>
      <c r="CW4">
        <v>11.34</v>
      </c>
      <c r="CX4">
        <v>11.34</v>
      </c>
      <c r="CY4">
        <v>11.24</v>
      </c>
      <c r="CZ4">
        <v>11.26</v>
      </c>
      <c r="DA4">
        <v>11.26</v>
      </c>
      <c r="DB4" s="2" t="s">
        <v>4710</v>
      </c>
    </row>
    <row r="5" spans="1:106" x14ac:dyDescent="0.4">
      <c r="A5" s="5" t="s">
        <v>8</v>
      </c>
      <c r="B5" s="2" t="str">
        <f>VLOOKUP(投資組合[[#This Row],[投資組合]],上市公司列表!$A$2:$B$1912,2,0)</f>
        <v>澳門博彩控股有限公司</v>
      </c>
      <c r="J5" s="3">
        <v>42836</v>
      </c>
      <c r="K5">
        <v>0.79</v>
      </c>
      <c r="L5">
        <v>0.79</v>
      </c>
      <c r="M5">
        <v>0.78</v>
      </c>
      <c r="N5">
        <v>0.79</v>
      </c>
      <c r="O5">
        <v>0.79</v>
      </c>
      <c r="P5" s="2" t="s">
        <v>3895</v>
      </c>
      <c r="S5" s="3">
        <v>42837</v>
      </c>
      <c r="T5">
        <v>38.1</v>
      </c>
      <c r="U5">
        <v>38.299999999999997</v>
      </c>
      <c r="V5">
        <v>37.5</v>
      </c>
      <c r="W5">
        <v>38.25</v>
      </c>
      <c r="X5">
        <v>38.159999999999997</v>
      </c>
      <c r="Y5" s="2" t="s">
        <v>3981</v>
      </c>
      <c r="AB5" s="3">
        <v>42837</v>
      </c>
      <c r="AC5">
        <v>3.27</v>
      </c>
      <c r="AD5">
        <v>3.3</v>
      </c>
      <c r="AE5">
        <v>3.27</v>
      </c>
      <c r="AF5">
        <v>3.29</v>
      </c>
      <c r="AG5">
        <v>3.17</v>
      </c>
      <c r="AH5" s="2" t="s">
        <v>4064</v>
      </c>
      <c r="AK5" s="3">
        <v>42837</v>
      </c>
      <c r="AL5">
        <v>7.2</v>
      </c>
      <c r="AM5">
        <v>7.45</v>
      </c>
      <c r="AN5">
        <v>7.15</v>
      </c>
      <c r="AO5">
        <v>7.44</v>
      </c>
      <c r="AP5">
        <v>7.28</v>
      </c>
      <c r="AQ5" s="2" t="s">
        <v>4147</v>
      </c>
      <c r="AT5" s="3">
        <v>42837</v>
      </c>
      <c r="AU5">
        <v>1.7</v>
      </c>
      <c r="AV5">
        <v>1.74</v>
      </c>
      <c r="AW5">
        <v>1.68</v>
      </c>
      <c r="AX5">
        <v>1.72</v>
      </c>
      <c r="AY5">
        <v>1.64</v>
      </c>
      <c r="AZ5" s="2" t="s">
        <v>4230</v>
      </c>
      <c r="BC5" s="3">
        <v>42836</v>
      </c>
      <c r="BD5">
        <v>1.57</v>
      </c>
      <c r="BE5">
        <v>1.59</v>
      </c>
      <c r="BF5">
        <v>1.56</v>
      </c>
      <c r="BG5">
        <v>1.57</v>
      </c>
      <c r="BH5">
        <v>1.57</v>
      </c>
      <c r="BI5" s="2" t="s">
        <v>4306</v>
      </c>
      <c r="BL5" s="3">
        <v>42837</v>
      </c>
      <c r="BM5">
        <v>8.27</v>
      </c>
      <c r="BN5">
        <v>8.52</v>
      </c>
      <c r="BO5">
        <v>8.27</v>
      </c>
      <c r="BP5">
        <v>8.4</v>
      </c>
      <c r="BQ5">
        <v>8.32</v>
      </c>
      <c r="BR5" s="2" t="s">
        <v>4389</v>
      </c>
      <c r="BU5" s="3">
        <v>42837</v>
      </c>
      <c r="BV5">
        <v>1.23</v>
      </c>
      <c r="BW5">
        <v>1.25</v>
      </c>
      <c r="BX5">
        <v>1.22</v>
      </c>
      <c r="BY5">
        <v>1.23</v>
      </c>
      <c r="BZ5">
        <v>1.21</v>
      </c>
      <c r="CA5" s="2" t="s">
        <v>4458</v>
      </c>
      <c r="CD5" s="3">
        <v>42837</v>
      </c>
      <c r="CE5">
        <v>7.32</v>
      </c>
      <c r="CF5">
        <v>7.41</v>
      </c>
      <c r="CG5">
        <v>7.19</v>
      </c>
      <c r="CH5">
        <v>7.22</v>
      </c>
      <c r="CI5">
        <v>7.17</v>
      </c>
      <c r="CJ5" s="2" t="s">
        <v>4542</v>
      </c>
      <c r="CM5" s="3">
        <v>42836</v>
      </c>
      <c r="CN5">
        <v>1.1499999999999999</v>
      </c>
      <c r="CO5">
        <v>1.17</v>
      </c>
      <c r="CP5">
        <v>1.1299999999999999</v>
      </c>
      <c r="CQ5">
        <v>1.1299999999999999</v>
      </c>
      <c r="CR5">
        <v>1.1299999999999999</v>
      </c>
      <c r="CS5" s="2" t="s">
        <v>4626</v>
      </c>
      <c r="CV5" s="3">
        <v>42836</v>
      </c>
      <c r="CW5">
        <v>11.26</v>
      </c>
      <c r="CX5">
        <v>11.32</v>
      </c>
      <c r="CY5">
        <v>11.14</v>
      </c>
      <c r="CZ5">
        <v>11.26</v>
      </c>
      <c r="DA5">
        <v>11.26</v>
      </c>
      <c r="DB5" s="2" t="s">
        <v>4709</v>
      </c>
    </row>
    <row r="6" spans="1:106" x14ac:dyDescent="0.4">
      <c r="A6" s="4" t="s">
        <v>7</v>
      </c>
      <c r="B6" s="2" t="str">
        <f>VLOOKUP(投資組合[[#This Row],[投資組合]],上市公司列表!$A$2:$B$1912,2,0)</f>
        <v>新天綠色能源股份有限公司</v>
      </c>
      <c r="J6" s="3">
        <v>42837</v>
      </c>
      <c r="K6">
        <v>0.78</v>
      </c>
      <c r="L6">
        <v>0.79</v>
      </c>
      <c r="M6">
        <v>0.78</v>
      </c>
      <c r="N6">
        <v>0.79</v>
      </c>
      <c r="O6">
        <v>0.79</v>
      </c>
      <c r="P6" s="2" t="s">
        <v>3860</v>
      </c>
      <c r="S6" s="3">
        <v>42838</v>
      </c>
      <c r="T6">
        <v>38</v>
      </c>
      <c r="U6">
        <v>38.700000000000003</v>
      </c>
      <c r="V6">
        <v>38</v>
      </c>
      <c r="W6">
        <v>38.299999999999997</v>
      </c>
      <c r="X6">
        <v>38.21</v>
      </c>
      <c r="Y6" s="2" t="s">
        <v>3980</v>
      </c>
      <c r="AB6" s="3">
        <v>42838</v>
      </c>
      <c r="AC6">
        <v>3.29</v>
      </c>
      <c r="AD6">
        <v>3.3</v>
      </c>
      <c r="AE6">
        <v>3.28</v>
      </c>
      <c r="AF6">
        <v>3.29</v>
      </c>
      <c r="AG6">
        <v>3.17</v>
      </c>
      <c r="AH6" s="2" t="s">
        <v>4063</v>
      </c>
      <c r="AK6" s="3">
        <v>42838</v>
      </c>
      <c r="AL6">
        <v>7.36</v>
      </c>
      <c r="AM6">
        <v>7.42</v>
      </c>
      <c r="AN6">
        <v>7.32</v>
      </c>
      <c r="AO6">
        <v>7.4</v>
      </c>
      <c r="AP6">
        <v>7.24</v>
      </c>
      <c r="AQ6" s="2" t="s">
        <v>4146</v>
      </c>
      <c r="AT6" s="3">
        <v>42838</v>
      </c>
      <c r="AU6">
        <v>1.7</v>
      </c>
      <c r="AV6">
        <v>1.7</v>
      </c>
      <c r="AW6">
        <v>1.67</v>
      </c>
      <c r="AX6">
        <v>1.69</v>
      </c>
      <c r="AY6">
        <v>1.61</v>
      </c>
      <c r="AZ6" s="2" t="s">
        <v>4229</v>
      </c>
      <c r="BC6" s="3">
        <v>42837</v>
      </c>
      <c r="BD6">
        <v>1.57</v>
      </c>
      <c r="BE6">
        <v>1.57</v>
      </c>
      <c r="BF6">
        <v>1.56</v>
      </c>
      <c r="BG6">
        <v>1.57</v>
      </c>
      <c r="BH6">
        <v>1.57</v>
      </c>
      <c r="BI6" s="2" t="s">
        <v>4305</v>
      </c>
      <c r="BL6" s="3">
        <v>42838</v>
      </c>
      <c r="BM6">
        <v>8.32</v>
      </c>
      <c r="BN6">
        <v>8.49</v>
      </c>
      <c r="BO6">
        <v>8.32</v>
      </c>
      <c r="BP6">
        <v>8.49</v>
      </c>
      <c r="BQ6">
        <v>8.41</v>
      </c>
      <c r="BR6" s="2" t="s">
        <v>4388</v>
      </c>
      <c r="BU6" s="3">
        <v>42838</v>
      </c>
      <c r="BV6">
        <v>1.22</v>
      </c>
      <c r="BW6">
        <v>1.24</v>
      </c>
      <c r="BX6">
        <v>1.22</v>
      </c>
      <c r="BY6">
        <v>1.23</v>
      </c>
      <c r="BZ6">
        <v>1.21</v>
      </c>
      <c r="CA6" s="2" t="s">
        <v>4457</v>
      </c>
      <c r="CD6" s="3">
        <v>42838</v>
      </c>
      <c r="CE6">
        <v>7.36</v>
      </c>
      <c r="CF6">
        <v>7.4</v>
      </c>
      <c r="CG6">
        <v>7.23</v>
      </c>
      <c r="CH6">
        <v>7.34</v>
      </c>
      <c r="CI6">
        <v>7.29</v>
      </c>
      <c r="CJ6" s="2" t="s">
        <v>4541</v>
      </c>
      <c r="CM6" s="3">
        <v>42837</v>
      </c>
      <c r="CN6">
        <v>1.1399999999999999</v>
      </c>
      <c r="CO6">
        <v>1.1599999999999999</v>
      </c>
      <c r="CP6">
        <v>1.1299999999999999</v>
      </c>
      <c r="CQ6">
        <v>1.1499999999999999</v>
      </c>
      <c r="CR6">
        <v>1.1499999999999999</v>
      </c>
      <c r="CS6" s="2" t="s">
        <v>4625</v>
      </c>
      <c r="CV6" s="3">
        <v>42837</v>
      </c>
      <c r="CW6">
        <v>11.24</v>
      </c>
      <c r="CX6">
        <v>11.32</v>
      </c>
      <c r="CY6">
        <v>11.22</v>
      </c>
      <c r="CZ6">
        <v>11.28</v>
      </c>
      <c r="DA6">
        <v>11.28</v>
      </c>
      <c r="DB6" s="2" t="s">
        <v>4708</v>
      </c>
    </row>
    <row r="7" spans="1:106" x14ac:dyDescent="0.4">
      <c r="A7" s="5" t="s">
        <v>6</v>
      </c>
      <c r="B7" s="2" t="str">
        <f>VLOOKUP(投資組合[[#This Row],[投資組合]],上市公司列表!$A$2:$B$1912,2,0)</f>
        <v>時代集團控股有限公司</v>
      </c>
      <c r="J7" s="3">
        <v>42838</v>
      </c>
      <c r="K7">
        <v>0.78</v>
      </c>
      <c r="L7">
        <v>0.79</v>
      </c>
      <c r="M7">
        <v>0.78</v>
      </c>
      <c r="N7">
        <v>0.79</v>
      </c>
      <c r="O7">
        <v>0.79</v>
      </c>
      <c r="P7" s="2" t="s">
        <v>3855</v>
      </c>
      <c r="S7" s="3">
        <v>42843</v>
      </c>
      <c r="T7">
        <v>38.299999999999997</v>
      </c>
      <c r="U7">
        <v>38.299999999999997</v>
      </c>
      <c r="V7">
        <v>37.85</v>
      </c>
      <c r="W7">
        <v>38</v>
      </c>
      <c r="X7">
        <v>37.909999999999997</v>
      </c>
      <c r="Y7" s="2" t="s">
        <v>3979</v>
      </c>
      <c r="AB7" s="3">
        <v>42843</v>
      </c>
      <c r="AC7">
        <v>3.29</v>
      </c>
      <c r="AD7">
        <v>3.29</v>
      </c>
      <c r="AE7">
        <v>3.21</v>
      </c>
      <c r="AF7">
        <v>3.26</v>
      </c>
      <c r="AG7">
        <v>3.14</v>
      </c>
      <c r="AH7" s="2" t="s">
        <v>4062</v>
      </c>
      <c r="AK7" s="3">
        <v>42843</v>
      </c>
      <c r="AL7">
        <v>7.4</v>
      </c>
      <c r="AM7">
        <v>7.4</v>
      </c>
      <c r="AN7">
        <v>7.16</v>
      </c>
      <c r="AO7">
        <v>7.2</v>
      </c>
      <c r="AP7">
        <v>7.05</v>
      </c>
      <c r="AQ7" s="2" t="s">
        <v>4145</v>
      </c>
      <c r="AT7" s="3">
        <v>42843</v>
      </c>
      <c r="AU7">
        <v>1.69</v>
      </c>
      <c r="AV7">
        <v>1.72</v>
      </c>
      <c r="AW7">
        <v>1.65</v>
      </c>
      <c r="AX7">
        <v>1.67</v>
      </c>
      <c r="AY7">
        <v>1.59</v>
      </c>
      <c r="AZ7" s="2" t="s">
        <v>4228</v>
      </c>
      <c r="BC7" s="3">
        <v>42838</v>
      </c>
      <c r="BD7">
        <v>1.57</v>
      </c>
      <c r="BE7">
        <v>1.59</v>
      </c>
      <c r="BF7">
        <v>1.52</v>
      </c>
      <c r="BG7">
        <v>1.54</v>
      </c>
      <c r="BH7">
        <v>1.54</v>
      </c>
      <c r="BI7" s="2" t="s">
        <v>4304</v>
      </c>
      <c r="BL7" s="3">
        <v>42843</v>
      </c>
      <c r="BM7">
        <v>8.49</v>
      </c>
      <c r="BN7">
        <v>8.49</v>
      </c>
      <c r="BO7">
        <v>8.3000000000000007</v>
      </c>
      <c r="BP7">
        <v>8.34</v>
      </c>
      <c r="BQ7">
        <v>8.27</v>
      </c>
      <c r="BR7" s="2" t="s">
        <v>4387</v>
      </c>
      <c r="BU7" s="3">
        <v>42843</v>
      </c>
      <c r="BV7">
        <v>1.23</v>
      </c>
      <c r="BW7">
        <v>1.24</v>
      </c>
      <c r="BX7">
        <v>1.2</v>
      </c>
      <c r="BY7">
        <v>1.2</v>
      </c>
      <c r="BZ7">
        <v>1.18</v>
      </c>
      <c r="CA7" s="2" t="s">
        <v>4456</v>
      </c>
      <c r="CD7" s="3">
        <v>42843</v>
      </c>
      <c r="CE7">
        <v>7.34</v>
      </c>
      <c r="CF7">
        <v>7.4</v>
      </c>
      <c r="CG7">
        <v>7.21</v>
      </c>
      <c r="CH7">
        <v>7.24</v>
      </c>
      <c r="CI7">
        <v>7.19</v>
      </c>
      <c r="CJ7" s="2" t="s">
        <v>4540</v>
      </c>
      <c r="CM7" s="3">
        <v>42838</v>
      </c>
      <c r="CN7">
        <v>1.17</v>
      </c>
      <c r="CO7">
        <v>1.17</v>
      </c>
      <c r="CP7">
        <v>1.1399999999999999</v>
      </c>
      <c r="CQ7">
        <v>1.1399999999999999</v>
      </c>
      <c r="CR7">
        <v>1.1399999999999999</v>
      </c>
      <c r="CS7" s="2" t="s">
        <v>4624</v>
      </c>
      <c r="CV7" s="3">
        <v>42838</v>
      </c>
      <c r="CW7">
        <v>11.28</v>
      </c>
      <c r="CX7">
        <v>11.36</v>
      </c>
      <c r="CY7">
        <v>11.26</v>
      </c>
      <c r="CZ7">
        <v>11.3</v>
      </c>
      <c r="DA7">
        <v>11.3</v>
      </c>
      <c r="DB7" s="2" t="s">
        <v>4707</v>
      </c>
    </row>
    <row r="8" spans="1:106" x14ac:dyDescent="0.4">
      <c r="A8" s="4" t="s">
        <v>5</v>
      </c>
      <c r="B8" s="2" t="str">
        <f>VLOOKUP(投資組合[[#This Row],[投資組合]],上市公司列表!$A$2:$B$1912,2,0)</f>
        <v>中遠海運港口有限公司</v>
      </c>
      <c r="J8" s="3">
        <v>42843</v>
      </c>
      <c r="K8">
        <v>0.79</v>
      </c>
      <c r="L8">
        <v>0.79</v>
      </c>
      <c r="M8">
        <v>0.78</v>
      </c>
      <c r="N8">
        <v>0.78</v>
      </c>
      <c r="O8">
        <v>0.78</v>
      </c>
      <c r="P8" s="2" t="s">
        <v>3894</v>
      </c>
      <c r="S8" s="3">
        <v>42844</v>
      </c>
      <c r="T8">
        <v>37.799999999999997</v>
      </c>
      <c r="U8">
        <v>37.799999999999997</v>
      </c>
      <c r="V8">
        <v>36.85</v>
      </c>
      <c r="W8">
        <v>37.5</v>
      </c>
      <c r="X8">
        <v>37.409999999999997</v>
      </c>
      <c r="Y8" s="2" t="s">
        <v>3978</v>
      </c>
      <c r="AB8" s="3">
        <v>42844</v>
      </c>
      <c r="AC8">
        <v>3.25</v>
      </c>
      <c r="AD8">
        <v>3.27</v>
      </c>
      <c r="AE8">
        <v>3.18</v>
      </c>
      <c r="AF8">
        <v>3.24</v>
      </c>
      <c r="AG8">
        <v>3.12</v>
      </c>
      <c r="AH8" s="2" t="s">
        <v>4061</v>
      </c>
      <c r="AK8" s="3">
        <v>42844</v>
      </c>
      <c r="AL8">
        <v>7.18</v>
      </c>
      <c r="AM8">
        <v>7.2</v>
      </c>
      <c r="AN8">
        <v>7.05</v>
      </c>
      <c r="AO8">
        <v>7.15</v>
      </c>
      <c r="AP8">
        <v>7</v>
      </c>
      <c r="AQ8" s="2" t="s">
        <v>4144</v>
      </c>
      <c r="AT8" s="3">
        <v>42844</v>
      </c>
      <c r="AU8">
        <v>1.65</v>
      </c>
      <c r="AV8">
        <v>1.68</v>
      </c>
      <c r="AW8">
        <v>1.64</v>
      </c>
      <c r="AX8">
        <v>1.66</v>
      </c>
      <c r="AY8">
        <v>1.58</v>
      </c>
      <c r="AZ8" s="2" t="s">
        <v>4227</v>
      </c>
      <c r="BC8" s="3">
        <v>42843</v>
      </c>
      <c r="BD8">
        <v>1.54</v>
      </c>
      <c r="BE8">
        <v>1.55</v>
      </c>
      <c r="BF8">
        <v>1.47</v>
      </c>
      <c r="BG8">
        <v>1.51</v>
      </c>
      <c r="BH8">
        <v>1.51</v>
      </c>
      <c r="BI8" s="2" t="s">
        <v>4303</v>
      </c>
      <c r="BL8" s="3">
        <v>42844</v>
      </c>
      <c r="BM8">
        <v>8.32</v>
      </c>
      <c r="BN8">
        <v>8.42</v>
      </c>
      <c r="BO8">
        <v>8.27</v>
      </c>
      <c r="BP8">
        <v>8.33</v>
      </c>
      <c r="BQ8">
        <v>8.26</v>
      </c>
      <c r="BR8" s="2" t="s">
        <v>4386</v>
      </c>
      <c r="BU8" s="3">
        <v>42844</v>
      </c>
      <c r="BV8">
        <v>1.2</v>
      </c>
      <c r="BW8">
        <v>1.23</v>
      </c>
      <c r="BX8">
        <v>1.2</v>
      </c>
      <c r="BY8">
        <v>1.23</v>
      </c>
      <c r="BZ8">
        <v>1.21</v>
      </c>
      <c r="CA8" s="2" t="s">
        <v>4455</v>
      </c>
      <c r="CD8" s="3">
        <v>42844</v>
      </c>
      <c r="CE8">
        <v>7.35</v>
      </c>
      <c r="CF8">
        <v>7.35</v>
      </c>
      <c r="CG8">
        <v>7.11</v>
      </c>
      <c r="CH8">
        <v>7.19</v>
      </c>
      <c r="CI8">
        <v>7.14</v>
      </c>
      <c r="CJ8" s="2" t="s">
        <v>4539</v>
      </c>
      <c r="CM8" s="3">
        <v>42843</v>
      </c>
      <c r="CN8">
        <v>1.1399999999999999</v>
      </c>
      <c r="CO8">
        <v>1.1499999999999999</v>
      </c>
      <c r="CP8">
        <v>1.1200000000000001</v>
      </c>
      <c r="CQ8">
        <v>1.1399999999999999</v>
      </c>
      <c r="CR8">
        <v>1.1399999999999999</v>
      </c>
      <c r="CS8" s="2" t="s">
        <v>4623</v>
      </c>
      <c r="CV8" s="3">
        <v>42843</v>
      </c>
      <c r="CW8">
        <v>11.2</v>
      </c>
      <c r="CX8">
        <v>11.2</v>
      </c>
      <c r="CY8">
        <v>11.14</v>
      </c>
      <c r="CZ8">
        <v>11.18</v>
      </c>
      <c r="DA8">
        <v>11.18</v>
      </c>
      <c r="DB8" s="2" t="s">
        <v>4706</v>
      </c>
    </row>
    <row r="9" spans="1:106" x14ac:dyDescent="0.4">
      <c r="A9" s="5" t="s">
        <v>4</v>
      </c>
      <c r="B9" s="2" t="str">
        <f>VLOOKUP(投資組合[[#This Row],[投資組合]],上市公司列表!$A$2:$B$1912,2,0)</f>
        <v>翠華控股有限公司</v>
      </c>
      <c r="J9" s="3">
        <v>42844</v>
      </c>
      <c r="K9">
        <v>0.78</v>
      </c>
      <c r="L9">
        <v>0.8</v>
      </c>
      <c r="M9">
        <v>0.78</v>
      </c>
      <c r="N9">
        <v>0.79</v>
      </c>
      <c r="O9">
        <v>0.79</v>
      </c>
      <c r="P9" s="2" t="s">
        <v>3893</v>
      </c>
      <c r="S9" s="3">
        <v>42845</v>
      </c>
      <c r="T9">
        <v>37.200000000000003</v>
      </c>
      <c r="U9">
        <v>38</v>
      </c>
      <c r="V9">
        <v>36.9</v>
      </c>
      <c r="W9">
        <v>38</v>
      </c>
      <c r="X9">
        <v>37.909999999999997</v>
      </c>
      <c r="Y9" s="2" t="s">
        <v>3977</v>
      </c>
      <c r="AB9" s="3">
        <v>42845</v>
      </c>
      <c r="AC9">
        <v>3.23</v>
      </c>
      <c r="AD9">
        <v>3.26</v>
      </c>
      <c r="AE9">
        <v>3.21</v>
      </c>
      <c r="AF9">
        <v>3.26</v>
      </c>
      <c r="AG9">
        <v>3.14</v>
      </c>
      <c r="AH9" s="2" t="s">
        <v>4060</v>
      </c>
      <c r="AK9" s="3">
        <v>42845</v>
      </c>
      <c r="AL9">
        <v>7.13</v>
      </c>
      <c r="AM9">
        <v>7.31</v>
      </c>
      <c r="AN9">
        <v>7.09</v>
      </c>
      <c r="AO9">
        <v>7.25</v>
      </c>
      <c r="AP9">
        <v>7.1</v>
      </c>
      <c r="AQ9" s="2" t="s">
        <v>4143</v>
      </c>
      <c r="AT9" s="3">
        <v>42845</v>
      </c>
      <c r="AU9">
        <v>1.66</v>
      </c>
      <c r="AV9">
        <v>1.68</v>
      </c>
      <c r="AW9">
        <v>1.64</v>
      </c>
      <c r="AX9">
        <v>1.66</v>
      </c>
      <c r="AY9">
        <v>1.58</v>
      </c>
      <c r="AZ9" s="2" t="s">
        <v>4226</v>
      </c>
      <c r="BC9" s="3">
        <v>42844</v>
      </c>
      <c r="BD9">
        <v>1.5</v>
      </c>
      <c r="BE9">
        <v>1.51</v>
      </c>
      <c r="BF9">
        <v>1.45</v>
      </c>
      <c r="BG9">
        <v>1.47</v>
      </c>
      <c r="BH9">
        <v>1.47</v>
      </c>
      <c r="BI9" s="2" t="s">
        <v>4302</v>
      </c>
      <c r="BL9" s="3">
        <v>42845</v>
      </c>
      <c r="BM9">
        <v>8.3000000000000007</v>
      </c>
      <c r="BN9">
        <v>8.39</v>
      </c>
      <c r="BO9">
        <v>8.2799999999999994</v>
      </c>
      <c r="BP9">
        <v>8.33</v>
      </c>
      <c r="BQ9">
        <v>8.26</v>
      </c>
      <c r="BR9" s="2" t="s">
        <v>4385</v>
      </c>
      <c r="BU9" s="3">
        <v>42845</v>
      </c>
      <c r="BV9">
        <v>1.21</v>
      </c>
      <c r="BW9">
        <v>1.23</v>
      </c>
      <c r="BX9">
        <v>1.2</v>
      </c>
      <c r="BY9">
        <v>1.22</v>
      </c>
      <c r="BZ9">
        <v>1.2</v>
      </c>
      <c r="CA9" s="2" t="s">
        <v>4454</v>
      </c>
      <c r="CD9" s="3">
        <v>42845</v>
      </c>
      <c r="CE9">
        <v>7.11</v>
      </c>
      <c r="CF9">
        <v>7.14</v>
      </c>
      <c r="CG9">
        <v>7.01</v>
      </c>
      <c r="CH9">
        <v>7.01</v>
      </c>
      <c r="CI9">
        <v>6.96</v>
      </c>
      <c r="CJ9" s="2" t="s">
        <v>4538</v>
      </c>
      <c r="CM9" s="3">
        <v>42844</v>
      </c>
      <c r="CN9">
        <v>1.1399999999999999</v>
      </c>
      <c r="CO9">
        <v>1.1499999999999999</v>
      </c>
      <c r="CP9">
        <v>1.1100000000000001</v>
      </c>
      <c r="CQ9">
        <v>1.1499999999999999</v>
      </c>
      <c r="CR9">
        <v>1.1499999999999999</v>
      </c>
      <c r="CS9" s="2" t="s">
        <v>4622</v>
      </c>
      <c r="CV9" s="3">
        <v>42844</v>
      </c>
      <c r="CW9">
        <v>11.16</v>
      </c>
      <c r="CX9">
        <v>11.16</v>
      </c>
      <c r="CY9">
        <v>11</v>
      </c>
      <c r="CZ9">
        <v>11.06</v>
      </c>
      <c r="DA9">
        <v>11.06</v>
      </c>
      <c r="DB9" s="2" t="s">
        <v>4705</v>
      </c>
    </row>
    <row r="10" spans="1:106" x14ac:dyDescent="0.4">
      <c r="A10" s="4" t="s">
        <v>3</v>
      </c>
      <c r="B10" s="2" t="str">
        <f>VLOOKUP(投資組合[[#This Row],[投資組合]],上市公司列表!$A$2:$B$1912,2,0)</f>
        <v>招金礦業股份有限公司</v>
      </c>
      <c r="J10" s="3">
        <v>42845</v>
      </c>
      <c r="K10">
        <v>0.77</v>
      </c>
      <c r="L10">
        <v>0.79</v>
      </c>
      <c r="M10">
        <v>0.76</v>
      </c>
      <c r="N10">
        <v>0.78</v>
      </c>
      <c r="O10">
        <v>0.78</v>
      </c>
      <c r="P10" s="2" t="s">
        <v>3892</v>
      </c>
      <c r="S10" s="3">
        <v>42846</v>
      </c>
      <c r="T10">
        <v>38.200000000000003</v>
      </c>
      <c r="U10">
        <v>38.950000000000003</v>
      </c>
      <c r="V10">
        <v>38.200000000000003</v>
      </c>
      <c r="W10">
        <v>38.9</v>
      </c>
      <c r="X10">
        <v>38.81</v>
      </c>
      <c r="Y10" s="2" t="s">
        <v>3976</v>
      </c>
      <c r="AB10" s="3">
        <v>42846</v>
      </c>
      <c r="AC10">
        <v>3.24</v>
      </c>
      <c r="AD10">
        <v>3.28</v>
      </c>
      <c r="AE10">
        <v>3.21</v>
      </c>
      <c r="AF10">
        <v>3.22</v>
      </c>
      <c r="AG10">
        <v>3.1</v>
      </c>
      <c r="AH10" s="2" t="s">
        <v>4059</v>
      </c>
      <c r="AK10" s="3">
        <v>42846</v>
      </c>
      <c r="AL10">
        <v>7.2</v>
      </c>
      <c r="AM10">
        <v>7.28</v>
      </c>
      <c r="AN10">
        <v>7.16</v>
      </c>
      <c r="AO10">
        <v>7.18</v>
      </c>
      <c r="AP10">
        <v>7.03</v>
      </c>
      <c r="AQ10" s="2" t="s">
        <v>4142</v>
      </c>
      <c r="AT10" s="3">
        <v>42846</v>
      </c>
      <c r="AU10">
        <v>1.67</v>
      </c>
      <c r="AV10">
        <v>1.68</v>
      </c>
      <c r="AW10">
        <v>1.63</v>
      </c>
      <c r="AX10">
        <v>1.65</v>
      </c>
      <c r="AY10">
        <v>1.57</v>
      </c>
      <c r="AZ10" s="2" t="s">
        <v>4225</v>
      </c>
      <c r="BC10" s="3">
        <v>42845</v>
      </c>
      <c r="BD10">
        <v>1.47</v>
      </c>
      <c r="BE10">
        <v>1.73</v>
      </c>
      <c r="BF10">
        <v>1.47</v>
      </c>
      <c r="BG10">
        <v>1.64</v>
      </c>
      <c r="BH10">
        <v>1.64</v>
      </c>
      <c r="BI10" s="2" t="s">
        <v>4301</v>
      </c>
      <c r="BL10" s="3">
        <v>42846</v>
      </c>
      <c r="BM10">
        <v>8.33</v>
      </c>
      <c r="BN10">
        <v>8.4499999999999993</v>
      </c>
      <c r="BO10">
        <v>8.33</v>
      </c>
      <c r="BP10">
        <v>8.41</v>
      </c>
      <c r="BQ10">
        <v>8.33</v>
      </c>
      <c r="BR10" s="2" t="s">
        <v>4384</v>
      </c>
      <c r="BU10" s="3">
        <v>42846</v>
      </c>
      <c r="BV10">
        <v>1.22</v>
      </c>
      <c r="BW10">
        <v>1.22</v>
      </c>
      <c r="BX10">
        <v>1.2</v>
      </c>
      <c r="BY10">
        <v>1.21</v>
      </c>
      <c r="BZ10">
        <v>1.19</v>
      </c>
      <c r="CA10" s="2" t="s">
        <v>4265</v>
      </c>
      <c r="CD10" s="3">
        <v>42846</v>
      </c>
      <c r="CE10">
        <v>7.02</v>
      </c>
      <c r="CF10">
        <v>7.13</v>
      </c>
      <c r="CG10">
        <v>6.97</v>
      </c>
      <c r="CH10">
        <v>7.02</v>
      </c>
      <c r="CI10">
        <v>6.97</v>
      </c>
      <c r="CJ10" s="2" t="s">
        <v>4537</v>
      </c>
      <c r="CM10" s="3">
        <v>42845</v>
      </c>
      <c r="CN10">
        <v>1.1499999999999999</v>
      </c>
      <c r="CO10">
        <v>1.18</v>
      </c>
      <c r="CP10">
        <v>1.1499999999999999</v>
      </c>
      <c r="CQ10">
        <v>1.1599999999999999</v>
      </c>
      <c r="CR10">
        <v>1.1599999999999999</v>
      </c>
      <c r="CS10" s="2" t="s">
        <v>4621</v>
      </c>
      <c r="CV10" s="3">
        <v>42845</v>
      </c>
      <c r="CW10">
        <v>11.06</v>
      </c>
      <c r="CX10">
        <v>11.16</v>
      </c>
      <c r="CY10">
        <v>11.04</v>
      </c>
      <c r="CZ10">
        <v>11.16</v>
      </c>
      <c r="DA10">
        <v>11.16</v>
      </c>
      <c r="DB10" s="2" t="s">
        <v>4704</v>
      </c>
    </row>
    <row r="11" spans="1:106" x14ac:dyDescent="0.4">
      <c r="A11" s="5" t="s">
        <v>2</v>
      </c>
      <c r="B11" s="2" t="str">
        <f>VLOOKUP(投資組合[[#This Row],[投資組合]],上市公司列表!$A$2:$B$1912,2,0)</f>
        <v>中國西部水泥有限公司</v>
      </c>
      <c r="J11" s="3">
        <v>42846</v>
      </c>
      <c r="K11">
        <v>0.78</v>
      </c>
      <c r="L11">
        <v>0.78</v>
      </c>
      <c r="M11">
        <v>0.78</v>
      </c>
      <c r="N11">
        <v>0.78</v>
      </c>
      <c r="O11">
        <v>0.78</v>
      </c>
      <c r="P11" s="2" t="s">
        <v>3873</v>
      </c>
      <c r="S11" s="3">
        <v>42849</v>
      </c>
      <c r="T11">
        <v>38.85</v>
      </c>
      <c r="U11">
        <v>39.85</v>
      </c>
      <c r="V11">
        <v>38.799999999999997</v>
      </c>
      <c r="W11">
        <v>39.85</v>
      </c>
      <c r="X11">
        <v>39.76</v>
      </c>
      <c r="Y11" s="2" t="s">
        <v>3975</v>
      </c>
      <c r="AB11" s="3">
        <v>42849</v>
      </c>
      <c r="AC11">
        <v>3.27</v>
      </c>
      <c r="AD11">
        <v>3.29</v>
      </c>
      <c r="AE11">
        <v>3.23</v>
      </c>
      <c r="AF11">
        <v>3.26</v>
      </c>
      <c r="AG11">
        <v>3.14</v>
      </c>
      <c r="AH11" s="2" t="s">
        <v>4058</v>
      </c>
      <c r="AK11" s="3">
        <v>42849</v>
      </c>
      <c r="AL11">
        <v>7.28</v>
      </c>
      <c r="AM11">
        <v>7.31</v>
      </c>
      <c r="AN11">
        <v>7</v>
      </c>
      <c r="AO11">
        <v>7.07</v>
      </c>
      <c r="AP11">
        <v>6.92</v>
      </c>
      <c r="AQ11" s="2" t="s">
        <v>4141</v>
      </c>
      <c r="AT11" s="3">
        <v>42849</v>
      </c>
      <c r="AU11">
        <v>1.65</v>
      </c>
      <c r="AV11">
        <v>1.66</v>
      </c>
      <c r="AW11">
        <v>1.6</v>
      </c>
      <c r="AX11">
        <v>1.64</v>
      </c>
      <c r="AY11">
        <v>1.56</v>
      </c>
      <c r="AZ11" s="2" t="s">
        <v>4224</v>
      </c>
      <c r="BC11" s="3">
        <v>42846</v>
      </c>
      <c r="BD11">
        <v>1.64</v>
      </c>
      <c r="BE11">
        <v>1.7</v>
      </c>
      <c r="BF11">
        <v>1.58</v>
      </c>
      <c r="BG11">
        <v>1.59</v>
      </c>
      <c r="BH11">
        <v>1.59</v>
      </c>
      <c r="BI11" s="2" t="s">
        <v>4300</v>
      </c>
      <c r="BL11" s="3">
        <v>42849</v>
      </c>
      <c r="BM11">
        <v>8.4600000000000009</v>
      </c>
      <c r="BN11">
        <v>8.52</v>
      </c>
      <c r="BO11">
        <v>8.35</v>
      </c>
      <c r="BP11">
        <v>8.52</v>
      </c>
      <c r="BQ11">
        <v>8.44</v>
      </c>
      <c r="BR11" s="2" t="s">
        <v>4383</v>
      </c>
      <c r="BU11" s="3">
        <v>42849</v>
      </c>
      <c r="BV11">
        <v>1.21</v>
      </c>
      <c r="BW11">
        <v>1.22</v>
      </c>
      <c r="BX11">
        <v>1.2</v>
      </c>
      <c r="BY11">
        <v>1.22</v>
      </c>
      <c r="BZ11">
        <v>1.2</v>
      </c>
      <c r="CA11" s="2" t="s">
        <v>4268</v>
      </c>
      <c r="CD11" s="3">
        <v>42849</v>
      </c>
      <c r="CE11">
        <v>6.95</v>
      </c>
      <c r="CF11">
        <v>6.99</v>
      </c>
      <c r="CG11">
        <v>6.8</v>
      </c>
      <c r="CH11">
        <v>6.9</v>
      </c>
      <c r="CI11">
        <v>6.85</v>
      </c>
      <c r="CJ11" s="2" t="s">
        <v>4536</v>
      </c>
      <c r="CM11" s="3">
        <v>42846</v>
      </c>
      <c r="CN11">
        <v>1.17</v>
      </c>
      <c r="CO11">
        <v>1.22</v>
      </c>
      <c r="CP11">
        <v>1.17</v>
      </c>
      <c r="CQ11">
        <v>1.18</v>
      </c>
      <c r="CR11">
        <v>1.18</v>
      </c>
      <c r="CS11" s="2" t="s">
        <v>4620</v>
      </c>
      <c r="CV11" s="3">
        <v>42846</v>
      </c>
      <c r="CW11">
        <v>11.16</v>
      </c>
      <c r="CX11">
        <v>11.22</v>
      </c>
      <c r="CY11">
        <v>11.14</v>
      </c>
      <c r="CZ11">
        <v>11.18</v>
      </c>
      <c r="DA11">
        <v>11.18</v>
      </c>
      <c r="DB11" s="2" t="s">
        <v>4703</v>
      </c>
    </row>
    <row r="12" spans="1:106" x14ac:dyDescent="0.4">
      <c r="A12" s="6" t="s">
        <v>0</v>
      </c>
      <c r="B12" s="7" t="str">
        <f>VLOOKUP(投資組合[[#This Row],[投資組合]],上市公司列表!$A$2:$B$1912,2,0)</f>
        <v>iShares 安碩富時A50中國指數ETF</v>
      </c>
      <c r="J12" s="3">
        <v>42849</v>
      </c>
      <c r="K12">
        <v>0.78</v>
      </c>
      <c r="L12">
        <v>0.78</v>
      </c>
      <c r="M12">
        <v>0.77</v>
      </c>
      <c r="N12">
        <v>0.77</v>
      </c>
      <c r="O12">
        <v>0.77</v>
      </c>
      <c r="P12" s="2" t="s">
        <v>3891</v>
      </c>
      <c r="S12" s="3">
        <v>42850</v>
      </c>
      <c r="T12">
        <v>39.75</v>
      </c>
      <c r="U12">
        <v>40.5</v>
      </c>
      <c r="V12">
        <v>39.75</v>
      </c>
      <c r="W12">
        <v>40.450000000000003</v>
      </c>
      <c r="X12">
        <v>40.36</v>
      </c>
      <c r="Y12" s="2" t="s">
        <v>3974</v>
      </c>
      <c r="AB12" s="3">
        <v>42850</v>
      </c>
      <c r="AC12">
        <v>3.27</v>
      </c>
      <c r="AD12">
        <v>3.28</v>
      </c>
      <c r="AE12">
        <v>3.22</v>
      </c>
      <c r="AF12">
        <v>3.25</v>
      </c>
      <c r="AG12">
        <v>3.13</v>
      </c>
      <c r="AH12" s="2" t="s">
        <v>4057</v>
      </c>
      <c r="AK12" s="3">
        <v>42850</v>
      </c>
      <c r="AL12">
        <v>7.12</v>
      </c>
      <c r="AM12">
        <v>7.23</v>
      </c>
      <c r="AN12">
        <v>7.06</v>
      </c>
      <c r="AO12">
        <v>7.2</v>
      </c>
      <c r="AP12">
        <v>7.05</v>
      </c>
      <c r="AQ12" s="2" t="s">
        <v>4140</v>
      </c>
      <c r="AT12" s="3">
        <v>42850</v>
      </c>
      <c r="AU12">
        <v>1.64</v>
      </c>
      <c r="AV12">
        <v>1.66</v>
      </c>
      <c r="AW12">
        <v>1.61</v>
      </c>
      <c r="AX12">
        <v>1.65</v>
      </c>
      <c r="AY12">
        <v>1.57</v>
      </c>
      <c r="AZ12" s="2" t="s">
        <v>4223</v>
      </c>
      <c r="BC12" s="3">
        <v>42849</v>
      </c>
      <c r="BD12">
        <v>1.59</v>
      </c>
      <c r="BE12">
        <v>1.6</v>
      </c>
      <c r="BF12">
        <v>1.58</v>
      </c>
      <c r="BG12">
        <v>1.59</v>
      </c>
      <c r="BH12">
        <v>1.59</v>
      </c>
      <c r="BI12" s="2" t="s">
        <v>4299</v>
      </c>
      <c r="BL12" s="3">
        <v>42850</v>
      </c>
      <c r="BM12">
        <v>8.5500000000000007</v>
      </c>
      <c r="BN12">
        <v>8.64</v>
      </c>
      <c r="BO12">
        <v>8.5299999999999994</v>
      </c>
      <c r="BP12">
        <v>8.64</v>
      </c>
      <c r="BQ12">
        <v>8.56</v>
      </c>
      <c r="BR12" s="2" t="s">
        <v>4382</v>
      </c>
      <c r="BU12" s="3">
        <v>42850</v>
      </c>
      <c r="BV12">
        <v>1.22</v>
      </c>
      <c r="BW12">
        <v>1.23</v>
      </c>
      <c r="BX12">
        <v>1.2</v>
      </c>
      <c r="BY12">
        <v>1.22</v>
      </c>
      <c r="BZ12">
        <v>1.2</v>
      </c>
      <c r="CA12" s="2" t="s">
        <v>4453</v>
      </c>
      <c r="CD12" s="3">
        <v>42850</v>
      </c>
      <c r="CE12">
        <v>6.96</v>
      </c>
      <c r="CF12">
        <v>6.98</v>
      </c>
      <c r="CG12">
        <v>6.88</v>
      </c>
      <c r="CH12">
        <v>6.96</v>
      </c>
      <c r="CI12">
        <v>6.91</v>
      </c>
      <c r="CJ12" s="2" t="s">
        <v>4535</v>
      </c>
      <c r="CM12" s="3">
        <v>42849</v>
      </c>
      <c r="CN12">
        <v>1.19</v>
      </c>
      <c r="CO12">
        <v>1.2</v>
      </c>
      <c r="CP12">
        <v>1.1299999999999999</v>
      </c>
      <c r="CQ12">
        <v>1.1499999999999999</v>
      </c>
      <c r="CR12">
        <v>1.1499999999999999</v>
      </c>
      <c r="CS12" s="2" t="s">
        <v>4619</v>
      </c>
      <c r="CV12" s="3">
        <v>42849</v>
      </c>
      <c r="CW12">
        <v>11.18</v>
      </c>
      <c r="CX12">
        <v>11.18</v>
      </c>
      <c r="CY12">
        <v>11.1</v>
      </c>
      <c r="CZ12">
        <v>11.14</v>
      </c>
      <c r="DA12">
        <v>11.14</v>
      </c>
      <c r="DB12" s="2" t="s">
        <v>4702</v>
      </c>
    </row>
    <row r="13" spans="1:106" x14ac:dyDescent="0.4">
      <c r="J13" s="3">
        <v>42850</v>
      </c>
      <c r="K13">
        <v>0.77</v>
      </c>
      <c r="L13">
        <v>0.77</v>
      </c>
      <c r="M13">
        <v>0.75</v>
      </c>
      <c r="N13">
        <v>0.75</v>
      </c>
      <c r="O13">
        <v>0.75</v>
      </c>
      <c r="P13" s="2" t="s">
        <v>3890</v>
      </c>
      <c r="S13" s="3">
        <v>42851</v>
      </c>
      <c r="T13">
        <v>40.299999999999997</v>
      </c>
      <c r="U13">
        <v>41</v>
      </c>
      <c r="V13">
        <v>40.299999999999997</v>
      </c>
      <c r="W13">
        <v>40.75</v>
      </c>
      <c r="X13">
        <v>40.659999999999997</v>
      </c>
      <c r="Y13" s="2" t="s">
        <v>3973</v>
      </c>
      <c r="AB13" s="3">
        <v>42851</v>
      </c>
      <c r="AC13">
        <v>3.26</v>
      </c>
      <c r="AD13">
        <v>3.27</v>
      </c>
      <c r="AE13">
        <v>3.24</v>
      </c>
      <c r="AF13">
        <v>3.25</v>
      </c>
      <c r="AG13">
        <v>3.13</v>
      </c>
      <c r="AH13" s="2" t="s">
        <v>4056</v>
      </c>
      <c r="AK13" s="3">
        <v>42851</v>
      </c>
      <c r="AL13">
        <v>7.29</v>
      </c>
      <c r="AM13">
        <v>7.64</v>
      </c>
      <c r="AN13">
        <v>7.29</v>
      </c>
      <c r="AO13">
        <v>7.6</v>
      </c>
      <c r="AP13">
        <v>7.44</v>
      </c>
      <c r="AQ13" s="2" t="s">
        <v>4139</v>
      </c>
      <c r="AT13" s="3">
        <v>42851</v>
      </c>
      <c r="AU13">
        <v>1.65</v>
      </c>
      <c r="AV13">
        <v>1.66</v>
      </c>
      <c r="AW13">
        <v>1.62</v>
      </c>
      <c r="AX13">
        <v>1.63</v>
      </c>
      <c r="AY13">
        <v>1.55</v>
      </c>
      <c r="AZ13" s="2" t="s">
        <v>4222</v>
      </c>
      <c r="BC13" s="3">
        <v>42850</v>
      </c>
      <c r="BD13">
        <v>1.59</v>
      </c>
      <c r="BE13">
        <v>1.6</v>
      </c>
      <c r="BF13">
        <v>1.55</v>
      </c>
      <c r="BG13">
        <v>1.6</v>
      </c>
      <c r="BH13">
        <v>1.6</v>
      </c>
      <c r="BI13" s="2" t="s">
        <v>4298</v>
      </c>
      <c r="BL13" s="3">
        <v>42851</v>
      </c>
      <c r="BM13">
        <v>8.6199999999999992</v>
      </c>
      <c r="BN13">
        <v>8.6199999999999992</v>
      </c>
      <c r="BO13">
        <v>8.4499999999999993</v>
      </c>
      <c r="BP13">
        <v>8.52</v>
      </c>
      <c r="BQ13">
        <v>8.44</v>
      </c>
      <c r="BR13" s="2" t="s">
        <v>4381</v>
      </c>
      <c r="BU13" s="3">
        <v>42851</v>
      </c>
      <c r="BV13">
        <v>1.23</v>
      </c>
      <c r="BW13">
        <v>1.24</v>
      </c>
      <c r="BX13">
        <v>1.23</v>
      </c>
      <c r="BY13">
        <v>1.24</v>
      </c>
      <c r="BZ13">
        <v>1.22</v>
      </c>
      <c r="CA13" s="2" t="s">
        <v>3861</v>
      </c>
      <c r="CD13" s="3">
        <v>42851</v>
      </c>
      <c r="CE13">
        <v>6.89</v>
      </c>
      <c r="CF13">
        <v>6.89</v>
      </c>
      <c r="CG13">
        <v>6.75</v>
      </c>
      <c r="CH13">
        <v>6.79</v>
      </c>
      <c r="CI13">
        <v>6.74</v>
      </c>
      <c r="CJ13" s="2" t="s">
        <v>4534</v>
      </c>
      <c r="CM13" s="3">
        <v>42850</v>
      </c>
      <c r="CN13">
        <v>1.1499999999999999</v>
      </c>
      <c r="CO13">
        <v>1.19</v>
      </c>
      <c r="CP13">
        <v>1.1399999999999999</v>
      </c>
      <c r="CQ13">
        <v>1.19</v>
      </c>
      <c r="CR13">
        <v>1.19</v>
      </c>
      <c r="CS13" s="2" t="s">
        <v>4618</v>
      </c>
      <c r="CV13" s="3">
        <v>42850</v>
      </c>
      <c r="CW13">
        <v>11.16</v>
      </c>
      <c r="CX13">
        <v>11.22</v>
      </c>
      <c r="CY13">
        <v>11.14</v>
      </c>
      <c r="CZ13">
        <v>11.2</v>
      </c>
      <c r="DA13">
        <v>11.2</v>
      </c>
      <c r="DB13" s="2" t="s">
        <v>4701</v>
      </c>
    </row>
    <row r="14" spans="1:106" x14ac:dyDescent="0.4">
      <c r="J14" s="3">
        <v>42851</v>
      </c>
      <c r="K14">
        <v>0.74</v>
      </c>
      <c r="L14">
        <v>0.76</v>
      </c>
      <c r="M14">
        <v>0.74</v>
      </c>
      <c r="N14">
        <v>0.75</v>
      </c>
      <c r="O14">
        <v>0.75</v>
      </c>
      <c r="P14" s="2" t="s">
        <v>3889</v>
      </c>
      <c r="S14" s="3">
        <v>42852</v>
      </c>
      <c r="T14">
        <v>40.799999999999997</v>
      </c>
      <c r="U14">
        <v>41.1</v>
      </c>
      <c r="V14">
        <v>40</v>
      </c>
      <c r="W14">
        <v>40.799999999999997</v>
      </c>
      <c r="X14">
        <v>40.71</v>
      </c>
      <c r="Y14" s="2" t="s">
        <v>3972</v>
      </c>
      <c r="AB14" s="3">
        <v>42852</v>
      </c>
      <c r="AC14">
        <v>3.26</v>
      </c>
      <c r="AD14">
        <v>3.3</v>
      </c>
      <c r="AE14">
        <v>3.24</v>
      </c>
      <c r="AF14">
        <v>3.29</v>
      </c>
      <c r="AG14">
        <v>3.17</v>
      </c>
      <c r="AH14" s="2" t="s">
        <v>4055</v>
      </c>
      <c r="AK14" s="3">
        <v>42852</v>
      </c>
      <c r="AL14">
        <v>7.57</v>
      </c>
      <c r="AM14">
        <v>7.59</v>
      </c>
      <c r="AN14">
        <v>7.32</v>
      </c>
      <c r="AO14">
        <v>7.47</v>
      </c>
      <c r="AP14">
        <v>7.31</v>
      </c>
      <c r="AQ14" s="2" t="s">
        <v>4138</v>
      </c>
      <c r="AT14" s="3">
        <v>42852</v>
      </c>
      <c r="AU14">
        <v>1.66</v>
      </c>
      <c r="AV14">
        <v>1.69</v>
      </c>
      <c r="AW14">
        <v>1.65</v>
      </c>
      <c r="AX14">
        <v>1.65</v>
      </c>
      <c r="AY14">
        <v>1.57</v>
      </c>
      <c r="AZ14" s="2" t="s">
        <v>4221</v>
      </c>
      <c r="BC14" s="3">
        <v>42851</v>
      </c>
      <c r="BD14">
        <v>1.57</v>
      </c>
      <c r="BE14">
        <v>1.61</v>
      </c>
      <c r="BF14">
        <v>1.56</v>
      </c>
      <c r="BG14">
        <v>1.61</v>
      </c>
      <c r="BH14">
        <v>1.61</v>
      </c>
      <c r="BI14" s="2" t="s">
        <v>4297</v>
      </c>
      <c r="BL14" s="3">
        <v>42852</v>
      </c>
      <c r="BM14">
        <v>8.59</v>
      </c>
      <c r="BN14">
        <v>8.59</v>
      </c>
      <c r="BO14">
        <v>8.42</v>
      </c>
      <c r="BP14">
        <v>8.49</v>
      </c>
      <c r="BQ14">
        <v>8.41</v>
      </c>
      <c r="BR14" s="2" t="s">
        <v>4380</v>
      </c>
      <c r="BU14" s="3">
        <v>42852</v>
      </c>
      <c r="BV14">
        <v>1.24</v>
      </c>
      <c r="BW14">
        <v>1.24</v>
      </c>
      <c r="BX14">
        <v>1.22</v>
      </c>
      <c r="BY14">
        <v>1.22</v>
      </c>
      <c r="BZ14">
        <v>1.2</v>
      </c>
      <c r="CA14" s="2" t="s">
        <v>4395</v>
      </c>
      <c r="CD14" s="3">
        <v>42852</v>
      </c>
      <c r="CE14">
        <v>6.78</v>
      </c>
      <c r="CF14">
        <v>6.92</v>
      </c>
      <c r="CG14">
        <v>6.78</v>
      </c>
      <c r="CH14">
        <v>6.82</v>
      </c>
      <c r="CI14">
        <v>6.77</v>
      </c>
      <c r="CJ14" s="2" t="s">
        <v>4533</v>
      </c>
      <c r="CM14" s="3">
        <v>42851</v>
      </c>
      <c r="CN14">
        <v>1.2</v>
      </c>
      <c r="CO14">
        <v>1.2</v>
      </c>
      <c r="CP14">
        <v>1.1599999999999999</v>
      </c>
      <c r="CQ14">
        <v>1.1599999999999999</v>
      </c>
      <c r="CR14">
        <v>1.1599999999999999</v>
      </c>
      <c r="CS14" s="2" t="s">
        <v>4617</v>
      </c>
      <c r="CV14" s="3">
        <v>42851</v>
      </c>
      <c r="CW14">
        <v>11.22</v>
      </c>
      <c r="CX14">
        <v>11.3</v>
      </c>
      <c r="CY14">
        <v>11.2</v>
      </c>
      <c r="CZ14">
        <v>11.24</v>
      </c>
      <c r="DA14">
        <v>11.24</v>
      </c>
      <c r="DB14" s="2" t="s">
        <v>4700</v>
      </c>
    </row>
    <row r="15" spans="1:106" x14ac:dyDescent="0.4">
      <c r="J15" s="3">
        <v>42852</v>
      </c>
      <c r="K15">
        <v>0.75</v>
      </c>
      <c r="L15">
        <v>0.75</v>
      </c>
      <c r="M15">
        <v>0.75</v>
      </c>
      <c r="N15">
        <v>0.75</v>
      </c>
      <c r="O15">
        <v>0.75</v>
      </c>
      <c r="P15" s="2" t="s">
        <v>3888</v>
      </c>
      <c r="S15" s="3">
        <v>42853</v>
      </c>
      <c r="T15">
        <v>40.85</v>
      </c>
      <c r="U15">
        <v>41.8</v>
      </c>
      <c r="V15">
        <v>40.85</v>
      </c>
      <c r="W15">
        <v>41.5</v>
      </c>
      <c r="X15">
        <v>41.4</v>
      </c>
      <c r="Y15" s="2" t="s">
        <v>3971</v>
      </c>
      <c r="AB15" s="3">
        <v>42853</v>
      </c>
      <c r="AC15">
        <v>3.3</v>
      </c>
      <c r="AD15">
        <v>3.3</v>
      </c>
      <c r="AE15">
        <v>3.24</v>
      </c>
      <c r="AF15">
        <v>3.26</v>
      </c>
      <c r="AG15">
        <v>3.14</v>
      </c>
      <c r="AH15" s="2" t="s">
        <v>4054</v>
      </c>
      <c r="AK15" s="3">
        <v>42853</v>
      </c>
      <c r="AL15">
        <v>7.45</v>
      </c>
      <c r="AM15">
        <v>7.57</v>
      </c>
      <c r="AN15">
        <v>7.45</v>
      </c>
      <c r="AO15">
        <v>7.55</v>
      </c>
      <c r="AP15">
        <v>7.39</v>
      </c>
      <c r="AQ15" s="2" t="s">
        <v>4137</v>
      </c>
      <c r="AT15" s="3">
        <v>42853</v>
      </c>
      <c r="AU15">
        <v>1.65</v>
      </c>
      <c r="AV15">
        <v>1.67</v>
      </c>
      <c r="AW15">
        <v>1.64</v>
      </c>
      <c r="AX15">
        <v>1.65</v>
      </c>
      <c r="AY15">
        <v>1.57</v>
      </c>
      <c r="AZ15" s="2" t="s">
        <v>4220</v>
      </c>
      <c r="BC15" s="3">
        <v>42852</v>
      </c>
      <c r="BD15">
        <v>1.6</v>
      </c>
      <c r="BE15">
        <v>1.64</v>
      </c>
      <c r="BF15">
        <v>1.59</v>
      </c>
      <c r="BG15">
        <v>1.61</v>
      </c>
      <c r="BH15">
        <v>1.61</v>
      </c>
      <c r="BI15" s="2" t="s">
        <v>4296</v>
      </c>
      <c r="BL15" s="3">
        <v>42853</v>
      </c>
      <c r="BM15">
        <v>8.48</v>
      </c>
      <c r="BN15">
        <v>8.5500000000000007</v>
      </c>
      <c r="BO15">
        <v>8.39</v>
      </c>
      <c r="BP15">
        <v>8.52</v>
      </c>
      <c r="BQ15">
        <v>8.44</v>
      </c>
      <c r="BR15" s="2" t="s">
        <v>4379</v>
      </c>
      <c r="BU15" s="3">
        <v>42853</v>
      </c>
      <c r="BV15">
        <v>1.24</v>
      </c>
      <c r="BW15">
        <v>1.26</v>
      </c>
      <c r="BX15">
        <v>1.21</v>
      </c>
      <c r="BY15">
        <v>1.22</v>
      </c>
      <c r="BZ15">
        <v>1.2</v>
      </c>
      <c r="CA15" s="2" t="s">
        <v>4452</v>
      </c>
      <c r="CD15" s="3">
        <v>42853</v>
      </c>
      <c r="CE15">
        <v>6.85</v>
      </c>
      <c r="CF15">
        <v>6.85</v>
      </c>
      <c r="CG15">
        <v>6.7</v>
      </c>
      <c r="CH15">
        <v>6.76</v>
      </c>
      <c r="CI15">
        <v>6.71</v>
      </c>
      <c r="CJ15" s="2" t="s">
        <v>4532</v>
      </c>
      <c r="CM15" s="3">
        <v>42852</v>
      </c>
      <c r="CN15">
        <v>1.17</v>
      </c>
      <c r="CO15">
        <v>1.17</v>
      </c>
      <c r="CP15">
        <v>1.1399999999999999</v>
      </c>
      <c r="CQ15">
        <v>1.1499999999999999</v>
      </c>
      <c r="CR15">
        <v>1.1499999999999999</v>
      </c>
      <c r="CS15" s="2" t="s">
        <v>4616</v>
      </c>
      <c r="CV15" s="3">
        <v>42852</v>
      </c>
      <c r="CW15">
        <v>11.22</v>
      </c>
      <c r="CX15">
        <v>11.22</v>
      </c>
      <c r="CY15">
        <v>11.12</v>
      </c>
      <c r="CZ15">
        <v>11.18</v>
      </c>
      <c r="DA15">
        <v>11.18</v>
      </c>
      <c r="DB15" s="2" t="s">
        <v>4699</v>
      </c>
    </row>
    <row r="16" spans="1:106" x14ac:dyDescent="0.4">
      <c r="J16" s="3">
        <v>42853</v>
      </c>
      <c r="K16">
        <v>0.75</v>
      </c>
      <c r="L16">
        <v>0.75</v>
      </c>
      <c r="M16">
        <v>0.75</v>
      </c>
      <c r="N16">
        <v>0.75</v>
      </c>
      <c r="O16">
        <v>0.75</v>
      </c>
      <c r="P16" s="2" t="s">
        <v>3837</v>
      </c>
      <c r="S16" s="3">
        <v>42857</v>
      </c>
      <c r="T16">
        <v>41.5</v>
      </c>
      <c r="U16">
        <v>42.15</v>
      </c>
      <c r="V16">
        <v>41.5</v>
      </c>
      <c r="W16">
        <v>42</v>
      </c>
      <c r="X16">
        <v>41.9</v>
      </c>
      <c r="Y16" s="2" t="s">
        <v>3970</v>
      </c>
      <c r="AB16" s="3">
        <v>42857</v>
      </c>
      <c r="AC16">
        <v>3.26</v>
      </c>
      <c r="AD16">
        <v>3.28</v>
      </c>
      <c r="AE16">
        <v>3.25</v>
      </c>
      <c r="AF16">
        <v>3.27</v>
      </c>
      <c r="AG16">
        <v>3.15</v>
      </c>
      <c r="AH16" s="2" t="s">
        <v>4053</v>
      </c>
      <c r="AK16" s="3">
        <v>42857</v>
      </c>
      <c r="AL16">
        <v>7.55</v>
      </c>
      <c r="AM16">
        <v>7.64</v>
      </c>
      <c r="AN16">
        <v>7.46</v>
      </c>
      <c r="AO16">
        <v>7.6</v>
      </c>
      <c r="AP16">
        <v>7.44</v>
      </c>
      <c r="AQ16" s="2" t="s">
        <v>4136</v>
      </c>
      <c r="AT16" s="3">
        <v>42857</v>
      </c>
      <c r="AU16">
        <v>1.65</v>
      </c>
      <c r="AV16">
        <v>1.67</v>
      </c>
      <c r="AW16">
        <v>1.63</v>
      </c>
      <c r="AX16">
        <v>1.65</v>
      </c>
      <c r="AY16">
        <v>1.57</v>
      </c>
      <c r="AZ16" s="2" t="s">
        <v>4219</v>
      </c>
      <c r="BC16" s="3">
        <v>42853</v>
      </c>
      <c r="BD16">
        <v>1.62</v>
      </c>
      <c r="BE16">
        <v>1.62</v>
      </c>
      <c r="BF16">
        <v>1.58</v>
      </c>
      <c r="BG16">
        <v>1.59</v>
      </c>
      <c r="BH16">
        <v>1.59</v>
      </c>
      <c r="BI16" s="2" t="s">
        <v>4295</v>
      </c>
      <c r="BL16" s="3">
        <v>42857</v>
      </c>
      <c r="BM16">
        <v>8.52</v>
      </c>
      <c r="BN16">
        <v>8.67</v>
      </c>
      <c r="BO16">
        <v>8.52</v>
      </c>
      <c r="BP16">
        <v>8.6300000000000008</v>
      </c>
      <c r="BQ16">
        <v>8.5500000000000007</v>
      </c>
      <c r="BR16" s="2" t="s">
        <v>4378</v>
      </c>
      <c r="BU16" s="3">
        <v>42857</v>
      </c>
      <c r="BV16">
        <v>1.22</v>
      </c>
      <c r="BW16">
        <v>1.25</v>
      </c>
      <c r="BX16">
        <v>1.22</v>
      </c>
      <c r="BY16">
        <v>1.25</v>
      </c>
      <c r="BZ16">
        <v>1.23</v>
      </c>
      <c r="CA16" s="2" t="s">
        <v>4451</v>
      </c>
      <c r="CD16" s="3">
        <v>42857</v>
      </c>
      <c r="CE16">
        <v>6.76</v>
      </c>
      <c r="CF16">
        <v>6.77</v>
      </c>
      <c r="CG16">
        <v>6.51</v>
      </c>
      <c r="CH16">
        <v>6.57</v>
      </c>
      <c r="CI16">
        <v>6.52</v>
      </c>
      <c r="CJ16" s="2" t="s">
        <v>4531</v>
      </c>
      <c r="CM16" s="3">
        <v>42853</v>
      </c>
      <c r="CN16">
        <v>1.1599999999999999</v>
      </c>
      <c r="CO16">
        <v>1.18</v>
      </c>
      <c r="CP16">
        <v>1.1399999999999999</v>
      </c>
      <c r="CQ16">
        <v>1.17</v>
      </c>
      <c r="CR16">
        <v>1.17</v>
      </c>
      <c r="CS16" s="2" t="s">
        <v>4615</v>
      </c>
      <c r="CV16" s="3">
        <v>42853</v>
      </c>
      <c r="CW16">
        <v>11.2</v>
      </c>
      <c r="CX16">
        <v>11.2</v>
      </c>
      <c r="CY16">
        <v>11.1</v>
      </c>
      <c r="CZ16">
        <v>11.16</v>
      </c>
      <c r="DA16">
        <v>11.16</v>
      </c>
      <c r="DB16" s="2" t="s">
        <v>4698</v>
      </c>
    </row>
    <row r="17" spans="10:106" x14ac:dyDescent="0.4">
      <c r="J17" s="3">
        <v>42857</v>
      </c>
      <c r="K17">
        <v>0.75</v>
      </c>
      <c r="L17">
        <v>0.75</v>
      </c>
      <c r="M17">
        <v>0.75</v>
      </c>
      <c r="N17">
        <v>0.75</v>
      </c>
      <c r="O17">
        <v>0.75</v>
      </c>
      <c r="P17" s="2" t="s">
        <v>3837</v>
      </c>
      <c r="S17" s="3">
        <v>42859</v>
      </c>
      <c r="T17">
        <v>42</v>
      </c>
      <c r="U17">
        <v>42</v>
      </c>
      <c r="V17">
        <v>41</v>
      </c>
      <c r="W17">
        <v>41.2</v>
      </c>
      <c r="X17">
        <v>41.1</v>
      </c>
      <c r="Y17" s="2" t="s">
        <v>3969</v>
      </c>
      <c r="AB17" s="3">
        <v>42859</v>
      </c>
      <c r="AC17">
        <v>3.27</v>
      </c>
      <c r="AD17">
        <v>3.28</v>
      </c>
      <c r="AE17">
        <v>3.23</v>
      </c>
      <c r="AF17">
        <v>3.26</v>
      </c>
      <c r="AG17">
        <v>3.14</v>
      </c>
      <c r="AH17" s="2" t="s">
        <v>4052</v>
      </c>
      <c r="AK17" s="3">
        <v>42859</v>
      </c>
      <c r="AL17">
        <v>7.6</v>
      </c>
      <c r="AM17">
        <v>7.64</v>
      </c>
      <c r="AN17">
        <v>7.36</v>
      </c>
      <c r="AO17">
        <v>7.41</v>
      </c>
      <c r="AP17">
        <v>7.25</v>
      </c>
      <c r="AQ17" s="2" t="s">
        <v>4135</v>
      </c>
      <c r="AT17" s="3">
        <v>42859</v>
      </c>
      <c r="AU17">
        <v>1.65</v>
      </c>
      <c r="AV17">
        <v>1.65</v>
      </c>
      <c r="AW17">
        <v>1.58</v>
      </c>
      <c r="AX17">
        <v>1.6</v>
      </c>
      <c r="AY17">
        <v>1.52</v>
      </c>
      <c r="AZ17" s="2" t="s">
        <v>4218</v>
      </c>
      <c r="BC17" s="3">
        <v>42857</v>
      </c>
      <c r="BD17">
        <v>1.59</v>
      </c>
      <c r="BE17">
        <v>1.67</v>
      </c>
      <c r="BF17">
        <v>1.59</v>
      </c>
      <c r="BG17">
        <v>1.65</v>
      </c>
      <c r="BH17">
        <v>1.65</v>
      </c>
      <c r="BI17" s="2" t="s">
        <v>4294</v>
      </c>
      <c r="BL17" s="3">
        <v>42859</v>
      </c>
      <c r="BM17">
        <v>8.6300000000000008</v>
      </c>
      <c r="BN17">
        <v>8.66</v>
      </c>
      <c r="BO17">
        <v>8.56</v>
      </c>
      <c r="BP17">
        <v>8.64</v>
      </c>
      <c r="BQ17">
        <v>8.56</v>
      </c>
      <c r="BR17" s="2" t="s">
        <v>4377</v>
      </c>
      <c r="BU17" s="3">
        <v>42859</v>
      </c>
      <c r="BV17">
        <v>1.25</v>
      </c>
      <c r="BW17">
        <v>1.26</v>
      </c>
      <c r="BX17">
        <v>1.24</v>
      </c>
      <c r="BY17">
        <v>1.24</v>
      </c>
      <c r="BZ17">
        <v>1.22</v>
      </c>
      <c r="CA17" s="2" t="s">
        <v>4268</v>
      </c>
      <c r="CD17" s="3">
        <v>42859</v>
      </c>
      <c r="CE17">
        <v>6.57</v>
      </c>
      <c r="CF17">
        <v>6.57</v>
      </c>
      <c r="CG17">
        <v>6.39</v>
      </c>
      <c r="CH17">
        <v>6.46</v>
      </c>
      <c r="CI17">
        <v>6.41</v>
      </c>
      <c r="CJ17" s="2" t="s">
        <v>4530</v>
      </c>
      <c r="CM17" s="3">
        <v>42857</v>
      </c>
      <c r="CN17">
        <v>1.17</v>
      </c>
      <c r="CO17">
        <v>1.18</v>
      </c>
      <c r="CP17">
        <v>1.1499999999999999</v>
      </c>
      <c r="CQ17">
        <v>1.1599999999999999</v>
      </c>
      <c r="CR17">
        <v>1.1599999999999999</v>
      </c>
      <c r="CS17" s="2" t="s">
        <v>4614</v>
      </c>
      <c r="CV17" s="3">
        <v>42857</v>
      </c>
      <c r="CW17">
        <v>11.16</v>
      </c>
      <c r="CX17">
        <v>11.2</v>
      </c>
      <c r="CY17">
        <v>11.1</v>
      </c>
      <c r="CZ17">
        <v>11.12</v>
      </c>
      <c r="DA17">
        <v>11.12</v>
      </c>
      <c r="DB17" s="2" t="s">
        <v>4697</v>
      </c>
    </row>
    <row r="18" spans="10:106" x14ac:dyDescent="0.4">
      <c r="J18" s="3">
        <v>42859</v>
      </c>
      <c r="K18">
        <v>0.75</v>
      </c>
      <c r="L18">
        <v>0.75</v>
      </c>
      <c r="M18">
        <v>0.75</v>
      </c>
      <c r="N18">
        <v>0.75</v>
      </c>
      <c r="O18">
        <v>0.75</v>
      </c>
      <c r="P18" s="2" t="s">
        <v>3887</v>
      </c>
      <c r="S18" s="3">
        <v>42860</v>
      </c>
      <c r="T18">
        <v>40.799999999999997</v>
      </c>
      <c r="U18">
        <v>41</v>
      </c>
      <c r="V18">
        <v>39.65</v>
      </c>
      <c r="W18">
        <v>39.65</v>
      </c>
      <c r="X18">
        <v>39.56</v>
      </c>
      <c r="Y18" s="2" t="s">
        <v>3968</v>
      </c>
      <c r="AB18" s="3">
        <v>42860</v>
      </c>
      <c r="AC18">
        <v>3.25</v>
      </c>
      <c r="AD18">
        <v>3.26</v>
      </c>
      <c r="AE18">
        <v>3.21</v>
      </c>
      <c r="AF18">
        <v>3.24</v>
      </c>
      <c r="AG18">
        <v>3.12</v>
      </c>
      <c r="AH18" s="2" t="s">
        <v>4051</v>
      </c>
      <c r="AK18" s="3">
        <v>42860</v>
      </c>
      <c r="AL18">
        <v>7.33</v>
      </c>
      <c r="AM18">
        <v>7.35</v>
      </c>
      <c r="AN18">
        <v>6.96</v>
      </c>
      <c r="AO18">
        <v>7.08</v>
      </c>
      <c r="AP18">
        <v>6.93</v>
      </c>
      <c r="AQ18" s="2" t="s">
        <v>4134</v>
      </c>
      <c r="AT18" s="3">
        <v>42860</v>
      </c>
      <c r="AU18">
        <v>1.6</v>
      </c>
      <c r="AV18">
        <v>1.61</v>
      </c>
      <c r="AW18">
        <v>1.52</v>
      </c>
      <c r="AX18">
        <v>1.54</v>
      </c>
      <c r="AY18">
        <v>1.47</v>
      </c>
      <c r="AZ18" s="2" t="s">
        <v>4217</v>
      </c>
      <c r="BC18" s="3">
        <v>42859</v>
      </c>
      <c r="BD18">
        <v>1.65</v>
      </c>
      <c r="BE18">
        <v>1.72</v>
      </c>
      <c r="BF18">
        <v>1.64</v>
      </c>
      <c r="BG18">
        <v>1.72</v>
      </c>
      <c r="BH18">
        <v>1.72</v>
      </c>
      <c r="BI18" s="2" t="s">
        <v>4293</v>
      </c>
      <c r="BL18" s="3">
        <v>42860</v>
      </c>
      <c r="BM18">
        <v>8.6199999999999992</v>
      </c>
      <c r="BN18">
        <v>8.6199999999999992</v>
      </c>
      <c r="BO18">
        <v>8.39</v>
      </c>
      <c r="BP18">
        <v>8.43</v>
      </c>
      <c r="BQ18">
        <v>8.35</v>
      </c>
      <c r="BR18" s="2" t="s">
        <v>4376</v>
      </c>
      <c r="BU18" s="3">
        <v>42860</v>
      </c>
      <c r="BV18">
        <v>1.22</v>
      </c>
      <c r="BW18">
        <v>1.24</v>
      </c>
      <c r="BX18">
        <v>1.21</v>
      </c>
      <c r="BY18">
        <v>1.22</v>
      </c>
      <c r="BZ18">
        <v>1.2</v>
      </c>
      <c r="CA18" s="2" t="s">
        <v>3886</v>
      </c>
      <c r="CD18" s="3">
        <v>42860</v>
      </c>
      <c r="CE18">
        <v>6.41</v>
      </c>
      <c r="CF18">
        <v>6.42</v>
      </c>
      <c r="CG18">
        <v>6.31</v>
      </c>
      <c r="CH18">
        <v>6.35</v>
      </c>
      <c r="CI18">
        <v>6.31</v>
      </c>
      <c r="CJ18" s="2" t="s">
        <v>4529</v>
      </c>
      <c r="CM18" s="3">
        <v>42859</v>
      </c>
      <c r="CN18">
        <v>1.1599999999999999</v>
      </c>
      <c r="CO18">
        <v>1.1599999999999999</v>
      </c>
      <c r="CP18">
        <v>1.1299999999999999</v>
      </c>
      <c r="CQ18">
        <v>1.1299999999999999</v>
      </c>
      <c r="CR18">
        <v>1.1299999999999999</v>
      </c>
      <c r="CS18" s="2" t="s">
        <v>4613</v>
      </c>
      <c r="CV18" s="3">
        <v>42859</v>
      </c>
      <c r="CW18">
        <v>11.12</v>
      </c>
      <c r="CX18">
        <v>11.12</v>
      </c>
      <c r="CY18">
        <v>11.06</v>
      </c>
      <c r="CZ18">
        <v>11.06</v>
      </c>
      <c r="DA18">
        <v>11.06</v>
      </c>
      <c r="DB18" s="2" t="s">
        <v>4696</v>
      </c>
    </row>
    <row r="19" spans="10:106" x14ac:dyDescent="0.4">
      <c r="J19" s="3">
        <v>42860</v>
      </c>
      <c r="K19">
        <v>0.75</v>
      </c>
      <c r="L19">
        <v>0.75</v>
      </c>
      <c r="M19">
        <v>0.74</v>
      </c>
      <c r="N19">
        <v>0.74</v>
      </c>
      <c r="O19">
        <v>0.74</v>
      </c>
      <c r="P19" s="2" t="s">
        <v>3886</v>
      </c>
      <c r="S19" s="3">
        <v>42863</v>
      </c>
      <c r="T19">
        <v>39.85</v>
      </c>
      <c r="U19">
        <v>40.9</v>
      </c>
      <c r="V19">
        <v>39.85</v>
      </c>
      <c r="W19">
        <v>40.049999999999997</v>
      </c>
      <c r="X19">
        <v>39.96</v>
      </c>
      <c r="Y19" s="2" t="s">
        <v>3967</v>
      </c>
      <c r="AB19" s="3">
        <v>42863</v>
      </c>
      <c r="AC19">
        <v>3.25</v>
      </c>
      <c r="AD19">
        <v>3.25</v>
      </c>
      <c r="AE19">
        <v>3.22</v>
      </c>
      <c r="AF19">
        <v>3.25</v>
      </c>
      <c r="AG19">
        <v>3.13</v>
      </c>
      <c r="AH19" s="2" t="s">
        <v>4050</v>
      </c>
      <c r="AK19" s="3">
        <v>42863</v>
      </c>
      <c r="AL19">
        <v>7.08</v>
      </c>
      <c r="AM19">
        <v>7.18</v>
      </c>
      <c r="AN19">
        <v>6.98</v>
      </c>
      <c r="AO19">
        <v>7.03</v>
      </c>
      <c r="AP19">
        <v>6.88</v>
      </c>
      <c r="AQ19" s="2" t="s">
        <v>4133</v>
      </c>
      <c r="AT19" s="3">
        <v>42863</v>
      </c>
      <c r="AU19">
        <v>1.55</v>
      </c>
      <c r="AV19">
        <v>1.55</v>
      </c>
      <c r="AW19">
        <v>1.52</v>
      </c>
      <c r="AX19">
        <v>1.54</v>
      </c>
      <c r="AY19">
        <v>1.47</v>
      </c>
      <c r="AZ19" s="2" t="s">
        <v>4216</v>
      </c>
      <c r="BC19" s="3">
        <v>42860</v>
      </c>
      <c r="BD19">
        <v>1.73</v>
      </c>
      <c r="BE19">
        <v>1.78</v>
      </c>
      <c r="BF19">
        <v>1.7</v>
      </c>
      <c r="BG19">
        <v>1.7</v>
      </c>
      <c r="BH19">
        <v>1.7</v>
      </c>
      <c r="BI19" s="2" t="s">
        <v>4292</v>
      </c>
      <c r="BL19" s="3">
        <v>42863</v>
      </c>
      <c r="BM19">
        <v>8.43</v>
      </c>
      <c r="BN19">
        <v>8.57</v>
      </c>
      <c r="BO19">
        <v>8.43</v>
      </c>
      <c r="BP19">
        <v>8.51</v>
      </c>
      <c r="BQ19">
        <v>8.43</v>
      </c>
      <c r="BR19" s="2" t="s">
        <v>4375</v>
      </c>
      <c r="BU19" s="3">
        <v>42863</v>
      </c>
      <c r="BV19">
        <v>1.22</v>
      </c>
      <c r="BW19">
        <v>1.24</v>
      </c>
      <c r="BX19">
        <v>1.22</v>
      </c>
      <c r="BY19">
        <v>1.24</v>
      </c>
      <c r="BZ19">
        <v>1.22</v>
      </c>
      <c r="CA19" s="2" t="s">
        <v>3835</v>
      </c>
      <c r="CD19" s="3">
        <v>42863</v>
      </c>
      <c r="CE19">
        <v>6.37</v>
      </c>
      <c r="CF19">
        <v>6.5</v>
      </c>
      <c r="CG19">
        <v>6.37</v>
      </c>
      <c r="CH19">
        <v>6.46</v>
      </c>
      <c r="CI19">
        <v>6.41</v>
      </c>
      <c r="CJ19" s="2" t="s">
        <v>4528</v>
      </c>
      <c r="CM19" s="3">
        <v>42860</v>
      </c>
      <c r="CN19">
        <v>1.1399999999999999</v>
      </c>
      <c r="CO19">
        <v>1.1399999999999999</v>
      </c>
      <c r="CP19">
        <v>1.0900000000000001</v>
      </c>
      <c r="CQ19">
        <v>1.1100000000000001</v>
      </c>
      <c r="CR19">
        <v>1.1100000000000001</v>
      </c>
      <c r="CS19" s="2" t="s">
        <v>4612</v>
      </c>
      <c r="CV19" s="3">
        <v>42860</v>
      </c>
      <c r="CW19">
        <v>11.08</v>
      </c>
      <c r="CX19">
        <v>11.08</v>
      </c>
      <c r="CY19">
        <v>10.96</v>
      </c>
      <c r="CZ19">
        <v>11.04</v>
      </c>
      <c r="DA19">
        <v>11.04</v>
      </c>
      <c r="DB19" s="2" t="s">
        <v>4695</v>
      </c>
    </row>
    <row r="20" spans="10:106" x14ac:dyDescent="0.4">
      <c r="J20" s="3">
        <v>42863</v>
      </c>
      <c r="K20">
        <v>0.74</v>
      </c>
      <c r="L20">
        <v>0.8</v>
      </c>
      <c r="M20">
        <v>0.74</v>
      </c>
      <c r="N20">
        <v>0.8</v>
      </c>
      <c r="O20">
        <v>0.8</v>
      </c>
      <c r="P20" s="2" t="s">
        <v>3885</v>
      </c>
      <c r="S20" s="3">
        <v>42864</v>
      </c>
      <c r="T20">
        <v>39.85</v>
      </c>
      <c r="U20">
        <v>41.05</v>
      </c>
      <c r="V20">
        <v>39.450000000000003</v>
      </c>
      <c r="W20">
        <v>40.5</v>
      </c>
      <c r="X20">
        <v>40.409999999999997</v>
      </c>
      <c r="Y20" s="2" t="s">
        <v>3966</v>
      </c>
      <c r="AB20" s="3">
        <v>42864</v>
      </c>
      <c r="AC20">
        <v>3.26</v>
      </c>
      <c r="AD20">
        <v>3.32</v>
      </c>
      <c r="AE20">
        <v>3.23</v>
      </c>
      <c r="AF20">
        <v>3.28</v>
      </c>
      <c r="AG20">
        <v>3.16</v>
      </c>
      <c r="AH20" s="2" t="s">
        <v>4049</v>
      </c>
      <c r="AK20" s="3">
        <v>42864</v>
      </c>
      <c r="AL20">
        <v>7</v>
      </c>
      <c r="AM20">
        <v>7.13</v>
      </c>
      <c r="AN20">
        <v>6.97</v>
      </c>
      <c r="AO20">
        <v>7.13</v>
      </c>
      <c r="AP20">
        <v>6.98</v>
      </c>
      <c r="AQ20" s="2" t="s">
        <v>4132</v>
      </c>
      <c r="AT20" s="3">
        <v>42864</v>
      </c>
      <c r="AU20">
        <v>1.55</v>
      </c>
      <c r="AV20">
        <v>1.63</v>
      </c>
      <c r="AW20">
        <v>1.54</v>
      </c>
      <c r="AX20">
        <v>1.62</v>
      </c>
      <c r="AY20">
        <v>1.54</v>
      </c>
      <c r="AZ20" s="2" t="s">
        <v>4215</v>
      </c>
      <c r="BC20" s="3">
        <v>42863</v>
      </c>
      <c r="BD20">
        <v>1.72</v>
      </c>
      <c r="BE20">
        <v>1.75</v>
      </c>
      <c r="BF20">
        <v>1.72</v>
      </c>
      <c r="BG20">
        <v>1.72</v>
      </c>
      <c r="BH20">
        <v>1.72</v>
      </c>
      <c r="BI20" s="2" t="s">
        <v>4291</v>
      </c>
      <c r="BL20" s="3">
        <v>42864</v>
      </c>
      <c r="BM20">
        <v>8.5299999999999994</v>
      </c>
      <c r="BN20">
        <v>8.73</v>
      </c>
      <c r="BO20">
        <v>8.5</v>
      </c>
      <c r="BP20">
        <v>8.73</v>
      </c>
      <c r="BQ20">
        <v>8.65</v>
      </c>
      <c r="BR20" s="2" t="s">
        <v>4374</v>
      </c>
      <c r="BU20" s="3">
        <v>42864</v>
      </c>
      <c r="BV20">
        <v>1.24</v>
      </c>
      <c r="BW20">
        <v>1.24</v>
      </c>
      <c r="BX20">
        <v>1.22</v>
      </c>
      <c r="BY20">
        <v>1.23</v>
      </c>
      <c r="BZ20">
        <v>1.21</v>
      </c>
      <c r="CA20" s="2" t="s">
        <v>4450</v>
      </c>
      <c r="CD20" s="3">
        <v>42864</v>
      </c>
      <c r="CE20">
        <v>6.4</v>
      </c>
      <c r="CF20">
        <v>6.51</v>
      </c>
      <c r="CG20">
        <v>6.4</v>
      </c>
      <c r="CH20">
        <v>6.43</v>
      </c>
      <c r="CI20">
        <v>6.38</v>
      </c>
      <c r="CJ20" s="2" t="s">
        <v>4527</v>
      </c>
      <c r="CM20" s="3">
        <v>42863</v>
      </c>
      <c r="CN20">
        <v>1.1100000000000001</v>
      </c>
      <c r="CO20">
        <v>1.1299999999999999</v>
      </c>
      <c r="CP20">
        <v>1.1000000000000001</v>
      </c>
      <c r="CQ20">
        <v>1.1100000000000001</v>
      </c>
      <c r="CR20">
        <v>1.1100000000000001</v>
      </c>
      <c r="CS20" s="2" t="s">
        <v>4611</v>
      </c>
      <c r="CV20" s="3">
        <v>42863</v>
      </c>
      <c r="CW20">
        <v>11.04</v>
      </c>
      <c r="CX20">
        <v>11.04</v>
      </c>
      <c r="CY20">
        <v>10.94</v>
      </c>
      <c r="CZ20">
        <v>11.02</v>
      </c>
      <c r="DA20">
        <v>11.02</v>
      </c>
      <c r="DB20" s="2" t="s">
        <v>4694</v>
      </c>
    </row>
    <row r="21" spans="10:106" x14ac:dyDescent="0.4">
      <c r="J21" s="3">
        <v>42864</v>
      </c>
      <c r="K21">
        <v>0.76</v>
      </c>
      <c r="L21">
        <v>0.77</v>
      </c>
      <c r="M21">
        <v>0.74</v>
      </c>
      <c r="N21">
        <v>0.75</v>
      </c>
      <c r="O21">
        <v>0.75</v>
      </c>
      <c r="P21" s="2" t="s">
        <v>3884</v>
      </c>
      <c r="S21" s="3">
        <v>42865</v>
      </c>
      <c r="T21">
        <v>40.549999999999997</v>
      </c>
      <c r="U21">
        <v>40.85</v>
      </c>
      <c r="V21">
        <v>39.950000000000003</v>
      </c>
      <c r="W21">
        <v>40.25</v>
      </c>
      <c r="X21">
        <v>40.159999999999997</v>
      </c>
      <c r="Y21" s="2" t="s">
        <v>3965</v>
      </c>
      <c r="AB21" s="3">
        <v>42865</v>
      </c>
      <c r="AC21">
        <v>3.3</v>
      </c>
      <c r="AD21">
        <v>3.3</v>
      </c>
      <c r="AE21">
        <v>3.21</v>
      </c>
      <c r="AF21">
        <v>3.21</v>
      </c>
      <c r="AG21">
        <v>3.09</v>
      </c>
      <c r="AH21" s="2" t="s">
        <v>4048</v>
      </c>
      <c r="AK21" s="3">
        <v>42865</v>
      </c>
      <c r="AL21">
        <v>7.13</v>
      </c>
      <c r="AM21">
        <v>7.18</v>
      </c>
      <c r="AN21">
        <v>7.03</v>
      </c>
      <c r="AO21">
        <v>7.15</v>
      </c>
      <c r="AP21">
        <v>7</v>
      </c>
      <c r="AQ21" s="2" t="s">
        <v>4131</v>
      </c>
      <c r="AT21" s="3">
        <v>42865</v>
      </c>
      <c r="AU21">
        <v>1.62</v>
      </c>
      <c r="AV21">
        <v>1.63</v>
      </c>
      <c r="AW21">
        <v>1.56</v>
      </c>
      <c r="AX21">
        <v>1.58</v>
      </c>
      <c r="AY21">
        <v>1.5</v>
      </c>
      <c r="AZ21" s="2" t="s">
        <v>4214</v>
      </c>
      <c r="BC21" s="3">
        <v>42864</v>
      </c>
      <c r="BD21">
        <v>1.71</v>
      </c>
      <c r="BE21">
        <v>1.74</v>
      </c>
      <c r="BF21">
        <v>1.7</v>
      </c>
      <c r="BG21">
        <v>1.7</v>
      </c>
      <c r="BH21">
        <v>1.7</v>
      </c>
      <c r="BI21" s="2" t="s">
        <v>4290</v>
      </c>
      <c r="BL21" s="3">
        <v>42865</v>
      </c>
      <c r="BM21">
        <v>8.76</v>
      </c>
      <c r="BN21">
        <v>8.7799999999999994</v>
      </c>
      <c r="BO21">
        <v>8.58</v>
      </c>
      <c r="BP21">
        <v>8.66</v>
      </c>
      <c r="BQ21">
        <v>8.58</v>
      </c>
      <c r="BR21" s="2" t="s">
        <v>4373</v>
      </c>
      <c r="BU21" s="3">
        <v>42865</v>
      </c>
      <c r="BV21">
        <v>1.23</v>
      </c>
      <c r="BW21">
        <v>1.23</v>
      </c>
      <c r="BX21">
        <v>1.22</v>
      </c>
      <c r="BY21">
        <v>1.22</v>
      </c>
      <c r="BZ21">
        <v>1.2</v>
      </c>
      <c r="CA21" s="2" t="s">
        <v>3896</v>
      </c>
      <c r="CD21" s="3">
        <v>42865</v>
      </c>
      <c r="CE21">
        <v>6.44</v>
      </c>
      <c r="CF21">
        <v>6.44</v>
      </c>
      <c r="CG21">
        <v>6.33</v>
      </c>
      <c r="CH21">
        <v>6.33</v>
      </c>
      <c r="CI21">
        <v>6.29</v>
      </c>
      <c r="CJ21" s="2" t="s">
        <v>4526</v>
      </c>
      <c r="CM21" s="3">
        <v>42864</v>
      </c>
      <c r="CN21">
        <v>1.1100000000000001</v>
      </c>
      <c r="CO21">
        <v>1.1299999999999999</v>
      </c>
      <c r="CP21">
        <v>1.1000000000000001</v>
      </c>
      <c r="CQ21">
        <v>1.1000000000000001</v>
      </c>
      <c r="CR21">
        <v>1.1000000000000001</v>
      </c>
      <c r="CS21" s="2" t="s">
        <v>4610</v>
      </c>
      <c r="CV21" s="3">
        <v>42864</v>
      </c>
      <c r="CW21">
        <v>11</v>
      </c>
      <c r="CX21">
        <v>11.06</v>
      </c>
      <c r="CY21">
        <v>10.96</v>
      </c>
      <c r="CZ21">
        <v>11.06</v>
      </c>
      <c r="DA21">
        <v>11.06</v>
      </c>
      <c r="DB21" s="2" t="s">
        <v>4693</v>
      </c>
    </row>
    <row r="22" spans="10:106" x14ac:dyDescent="0.4">
      <c r="J22" s="3">
        <v>42865</v>
      </c>
      <c r="K22">
        <v>0.74</v>
      </c>
      <c r="L22">
        <v>0.75</v>
      </c>
      <c r="M22">
        <v>0.74</v>
      </c>
      <c r="N22">
        <v>0.75</v>
      </c>
      <c r="O22">
        <v>0.75</v>
      </c>
      <c r="P22" s="2" t="s">
        <v>3883</v>
      </c>
      <c r="S22" s="3">
        <v>42866</v>
      </c>
      <c r="T22">
        <v>40.15</v>
      </c>
      <c r="U22">
        <v>41.45</v>
      </c>
      <c r="V22">
        <v>40.1</v>
      </c>
      <c r="W22">
        <v>41.4</v>
      </c>
      <c r="X22">
        <v>41.3</v>
      </c>
      <c r="Y22" s="2" t="s">
        <v>3964</v>
      </c>
      <c r="AB22" s="3">
        <v>42866</v>
      </c>
      <c r="AC22">
        <v>3.22</v>
      </c>
      <c r="AD22">
        <v>3.25</v>
      </c>
      <c r="AE22">
        <v>3.21</v>
      </c>
      <c r="AF22">
        <v>3.24</v>
      </c>
      <c r="AG22">
        <v>3.12</v>
      </c>
      <c r="AH22" s="2" t="s">
        <v>4047</v>
      </c>
      <c r="AK22" s="3">
        <v>42866</v>
      </c>
      <c r="AL22">
        <v>7.17</v>
      </c>
      <c r="AM22">
        <v>7.22</v>
      </c>
      <c r="AN22">
        <v>7.1</v>
      </c>
      <c r="AO22">
        <v>7.15</v>
      </c>
      <c r="AP22">
        <v>7</v>
      </c>
      <c r="AQ22" s="2" t="s">
        <v>4130</v>
      </c>
      <c r="AT22" s="3">
        <v>42866</v>
      </c>
      <c r="AU22">
        <v>1.59</v>
      </c>
      <c r="AV22">
        <v>1.62</v>
      </c>
      <c r="AW22">
        <v>1.58</v>
      </c>
      <c r="AX22">
        <v>1.61</v>
      </c>
      <c r="AY22">
        <v>1.53</v>
      </c>
      <c r="AZ22" s="2" t="s">
        <v>4213</v>
      </c>
      <c r="BC22" s="3">
        <v>42865</v>
      </c>
      <c r="BD22">
        <v>1.7</v>
      </c>
      <c r="BE22">
        <v>1.73</v>
      </c>
      <c r="BF22">
        <v>1.67</v>
      </c>
      <c r="BG22">
        <v>1.67</v>
      </c>
      <c r="BH22">
        <v>1.67</v>
      </c>
      <c r="BI22" s="2" t="s">
        <v>4289</v>
      </c>
      <c r="BL22" s="3">
        <v>42866</v>
      </c>
      <c r="BM22">
        <v>8.66</v>
      </c>
      <c r="BN22">
        <v>8.7799999999999994</v>
      </c>
      <c r="BO22">
        <v>8.61</v>
      </c>
      <c r="BP22">
        <v>8.7799999999999994</v>
      </c>
      <c r="BQ22">
        <v>8.6999999999999993</v>
      </c>
      <c r="BR22" s="2" t="s">
        <v>4372</v>
      </c>
      <c r="BU22" s="3">
        <v>42866</v>
      </c>
      <c r="BV22">
        <v>1.22</v>
      </c>
      <c r="BW22">
        <v>1.24</v>
      </c>
      <c r="BX22">
        <v>1.22</v>
      </c>
      <c r="BY22">
        <v>1.23</v>
      </c>
      <c r="BZ22">
        <v>1.21</v>
      </c>
      <c r="CA22" s="2" t="s">
        <v>4449</v>
      </c>
      <c r="CD22" s="3">
        <v>42866</v>
      </c>
      <c r="CE22">
        <v>6.35</v>
      </c>
      <c r="CF22">
        <v>6.44</v>
      </c>
      <c r="CG22">
        <v>6.35</v>
      </c>
      <c r="CH22">
        <v>6.41</v>
      </c>
      <c r="CI22">
        <v>6.36</v>
      </c>
      <c r="CJ22" s="2" t="s">
        <v>4525</v>
      </c>
      <c r="CM22" s="3">
        <v>42865</v>
      </c>
      <c r="CN22">
        <v>1.1100000000000001</v>
      </c>
      <c r="CO22">
        <v>1.1299999999999999</v>
      </c>
      <c r="CP22">
        <v>1.1000000000000001</v>
      </c>
      <c r="CQ22">
        <v>1.1200000000000001</v>
      </c>
      <c r="CR22">
        <v>1.1200000000000001</v>
      </c>
      <c r="CS22" s="2" t="s">
        <v>4609</v>
      </c>
      <c r="CV22" s="3">
        <v>42865</v>
      </c>
      <c r="CW22">
        <v>11.04</v>
      </c>
      <c r="CX22">
        <v>11.16</v>
      </c>
      <c r="CY22">
        <v>11.04</v>
      </c>
      <c r="CZ22">
        <v>11.06</v>
      </c>
      <c r="DA22">
        <v>11.06</v>
      </c>
      <c r="DB22" s="2" t="s">
        <v>4692</v>
      </c>
    </row>
    <row r="23" spans="10:106" x14ac:dyDescent="0.4">
      <c r="J23" s="3">
        <v>42866</v>
      </c>
      <c r="K23">
        <v>0.74</v>
      </c>
      <c r="L23">
        <v>0.75</v>
      </c>
      <c r="M23">
        <v>0.73</v>
      </c>
      <c r="N23">
        <v>0.75</v>
      </c>
      <c r="O23">
        <v>0.75</v>
      </c>
      <c r="P23" s="2" t="s">
        <v>3882</v>
      </c>
      <c r="S23" s="3">
        <v>42867</v>
      </c>
      <c r="T23">
        <v>41.3</v>
      </c>
      <c r="U23">
        <v>41.9</v>
      </c>
      <c r="V23">
        <v>41.3</v>
      </c>
      <c r="W23">
        <v>41.5</v>
      </c>
      <c r="X23">
        <v>41.4</v>
      </c>
      <c r="Y23" s="2" t="s">
        <v>3963</v>
      </c>
      <c r="AB23" s="3">
        <v>42867</v>
      </c>
      <c r="AC23">
        <v>3.21</v>
      </c>
      <c r="AD23">
        <v>3.22</v>
      </c>
      <c r="AE23">
        <v>3.17</v>
      </c>
      <c r="AF23">
        <v>3.19</v>
      </c>
      <c r="AG23">
        <v>3.07</v>
      </c>
      <c r="AH23" s="2" t="s">
        <v>4046</v>
      </c>
      <c r="AK23" s="3">
        <v>42867</v>
      </c>
      <c r="AL23">
        <v>7.15</v>
      </c>
      <c r="AM23">
        <v>7.19</v>
      </c>
      <c r="AN23">
        <v>7.09</v>
      </c>
      <c r="AO23">
        <v>7.19</v>
      </c>
      <c r="AP23">
        <v>7.04</v>
      </c>
      <c r="AQ23" s="2" t="s">
        <v>4129</v>
      </c>
      <c r="AT23" s="3">
        <v>42867</v>
      </c>
      <c r="AU23">
        <v>1.59</v>
      </c>
      <c r="AV23">
        <v>1.62</v>
      </c>
      <c r="AW23">
        <v>1.57</v>
      </c>
      <c r="AX23">
        <v>1.59</v>
      </c>
      <c r="AY23">
        <v>1.51</v>
      </c>
      <c r="AZ23" s="2" t="s">
        <v>4212</v>
      </c>
      <c r="BC23" s="3">
        <v>42866</v>
      </c>
      <c r="BD23">
        <v>1.67</v>
      </c>
      <c r="BE23">
        <v>1.7</v>
      </c>
      <c r="BF23">
        <v>1.67</v>
      </c>
      <c r="BG23">
        <v>1.69</v>
      </c>
      <c r="BH23">
        <v>1.69</v>
      </c>
      <c r="BI23" s="2" t="s">
        <v>4288</v>
      </c>
      <c r="BL23" s="3">
        <v>42867</v>
      </c>
      <c r="BM23">
        <v>8.74</v>
      </c>
      <c r="BN23">
        <v>8.74</v>
      </c>
      <c r="BO23">
        <v>8.64</v>
      </c>
      <c r="BP23">
        <v>8.68</v>
      </c>
      <c r="BQ23">
        <v>8.6</v>
      </c>
      <c r="BR23" s="2" t="s">
        <v>4371</v>
      </c>
      <c r="BU23" s="3">
        <v>42867</v>
      </c>
      <c r="BV23">
        <v>1.23</v>
      </c>
      <c r="BW23">
        <v>1.25</v>
      </c>
      <c r="BX23">
        <v>1.22</v>
      </c>
      <c r="BY23">
        <v>1.23</v>
      </c>
      <c r="BZ23">
        <v>1.21</v>
      </c>
      <c r="CA23" s="2" t="s">
        <v>4448</v>
      </c>
      <c r="CD23" s="3">
        <v>42867</v>
      </c>
      <c r="CE23">
        <v>6.39</v>
      </c>
      <c r="CF23">
        <v>6.4</v>
      </c>
      <c r="CG23">
        <v>6.33</v>
      </c>
      <c r="CH23">
        <v>6.35</v>
      </c>
      <c r="CI23">
        <v>6.31</v>
      </c>
      <c r="CJ23" s="2" t="s">
        <v>4524</v>
      </c>
      <c r="CM23" s="3">
        <v>42866</v>
      </c>
      <c r="CN23">
        <v>1.1299999999999999</v>
      </c>
      <c r="CO23">
        <v>1.1299999999999999</v>
      </c>
      <c r="CP23">
        <v>1.1000000000000001</v>
      </c>
      <c r="CQ23">
        <v>1.1100000000000001</v>
      </c>
      <c r="CR23">
        <v>1.1100000000000001</v>
      </c>
      <c r="CS23" s="2" t="s">
        <v>4608</v>
      </c>
      <c r="CV23" s="3">
        <v>42866</v>
      </c>
      <c r="CW23">
        <v>11.08</v>
      </c>
      <c r="CX23">
        <v>11.18</v>
      </c>
      <c r="CY23">
        <v>11.06</v>
      </c>
      <c r="CZ23">
        <v>11.16</v>
      </c>
      <c r="DA23">
        <v>11.16</v>
      </c>
      <c r="DB23" s="2" t="s">
        <v>4691</v>
      </c>
    </row>
    <row r="24" spans="10:106" x14ac:dyDescent="0.4">
      <c r="J24" s="3">
        <v>42867</v>
      </c>
      <c r="K24">
        <v>0.75</v>
      </c>
      <c r="L24">
        <v>0.75</v>
      </c>
      <c r="M24">
        <v>0.74</v>
      </c>
      <c r="N24">
        <v>0.74</v>
      </c>
      <c r="O24">
        <v>0.74</v>
      </c>
      <c r="P24" s="2" t="s">
        <v>3881</v>
      </c>
      <c r="S24" s="3">
        <v>42870</v>
      </c>
      <c r="T24">
        <v>41.8</v>
      </c>
      <c r="U24">
        <v>43.85</v>
      </c>
      <c r="V24">
        <v>41.8</v>
      </c>
      <c r="W24">
        <v>43.85</v>
      </c>
      <c r="X24">
        <v>43.75</v>
      </c>
      <c r="Y24" s="2" t="s">
        <v>3962</v>
      </c>
      <c r="AB24" s="3">
        <v>42870</v>
      </c>
      <c r="AC24">
        <v>3.2</v>
      </c>
      <c r="AD24">
        <v>3.2</v>
      </c>
      <c r="AE24">
        <v>3.15</v>
      </c>
      <c r="AF24">
        <v>3.19</v>
      </c>
      <c r="AG24">
        <v>3.07</v>
      </c>
      <c r="AH24" s="2" t="s">
        <v>4045</v>
      </c>
      <c r="AK24" s="3">
        <v>42870</v>
      </c>
      <c r="AL24">
        <v>7.25</v>
      </c>
      <c r="AM24">
        <v>7.28</v>
      </c>
      <c r="AN24">
        <v>7.16</v>
      </c>
      <c r="AO24">
        <v>7.22</v>
      </c>
      <c r="AP24">
        <v>7.07</v>
      </c>
      <c r="AQ24" s="2" t="s">
        <v>4128</v>
      </c>
      <c r="AT24" s="3">
        <v>42870</v>
      </c>
      <c r="AU24">
        <v>1.59</v>
      </c>
      <c r="AV24">
        <v>1.59</v>
      </c>
      <c r="AW24">
        <v>1.5</v>
      </c>
      <c r="AX24">
        <v>1.52</v>
      </c>
      <c r="AY24">
        <v>1.45</v>
      </c>
      <c r="AZ24" s="2" t="s">
        <v>4211</v>
      </c>
      <c r="BC24" s="3">
        <v>42867</v>
      </c>
      <c r="BD24">
        <v>1.68</v>
      </c>
      <c r="BE24">
        <v>1.69</v>
      </c>
      <c r="BF24">
        <v>1.65</v>
      </c>
      <c r="BG24">
        <v>1.67</v>
      </c>
      <c r="BH24">
        <v>1.67</v>
      </c>
      <c r="BI24" s="2" t="s">
        <v>4287</v>
      </c>
      <c r="BL24" s="3">
        <v>42870</v>
      </c>
      <c r="BM24">
        <v>8.75</v>
      </c>
      <c r="BN24">
        <v>8.7799999999999994</v>
      </c>
      <c r="BO24">
        <v>8.7200000000000006</v>
      </c>
      <c r="BP24">
        <v>8.74</v>
      </c>
      <c r="BQ24">
        <v>8.66</v>
      </c>
      <c r="BR24" s="2" t="s">
        <v>4370</v>
      </c>
      <c r="BU24" s="3">
        <v>42870</v>
      </c>
      <c r="BV24">
        <v>1.23</v>
      </c>
      <c r="BW24">
        <v>1.25</v>
      </c>
      <c r="BX24">
        <v>1.21</v>
      </c>
      <c r="BY24">
        <v>1.21</v>
      </c>
      <c r="BZ24">
        <v>1.19</v>
      </c>
      <c r="CA24" s="2" t="s">
        <v>4447</v>
      </c>
      <c r="CD24" s="3">
        <v>42870</v>
      </c>
      <c r="CE24">
        <v>6.36</v>
      </c>
      <c r="CF24">
        <v>6.48</v>
      </c>
      <c r="CG24">
        <v>6.3</v>
      </c>
      <c r="CH24">
        <v>6.44</v>
      </c>
      <c r="CI24">
        <v>6.39</v>
      </c>
      <c r="CJ24" s="2" t="s">
        <v>4523</v>
      </c>
      <c r="CM24" s="3">
        <v>42867</v>
      </c>
      <c r="CN24">
        <v>1.1100000000000001</v>
      </c>
      <c r="CO24">
        <v>1.1100000000000001</v>
      </c>
      <c r="CP24">
        <v>1.08</v>
      </c>
      <c r="CQ24">
        <v>1.1000000000000001</v>
      </c>
      <c r="CR24">
        <v>1.1000000000000001</v>
      </c>
      <c r="CS24" s="2" t="s">
        <v>4607</v>
      </c>
      <c r="CV24" s="3">
        <v>42867</v>
      </c>
      <c r="CW24">
        <v>11.18</v>
      </c>
      <c r="CX24">
        <v>11.36</v>
      </c>
      <c r="CY24">
        <v>11.16</v>
      </c>
      <c r="CZ24">
        <v>11.34</v>
      </c>
      <c r="DA24">
        <v>11.34</v>
      </c>
      <c r="DB24" s="2" t="s">
        <v>4690</v>
      </c>
    </row>
    <row r="25" spans="10:106" x14ac:dyDescent="0.4">
      <c r="J25" s="3">
        <v>42870</v>
      </c>
      <c r="K25">
        <v>0.74</v>
      </c>
      <c r="L25">
        <v>0.74</v>
      </c>
      <c r="M25">
        <v>0.74</v>
      </c>
      <c r="N25">
        <v>0.74</v>
      </c>
      <c r="O25">
        <v>0.74</v>
      </c>
      <c r="P25" s="2" t="s">
        <v>3880</v>
      </c>
      <c r="S25" s="3">
        <v>42871</v>
      </c>
      <c r="T25">
        <v>43.85</v>
      </c>
      <c r="U25">
        <v>44.1</v>
      </c>
      <c r="V25">
        <v>43.25</v>
      </c>
      <c r="W25">
        <v>44</v>
      </c>
      <c r="X25">
        <v>43.9</v>
      </c>
      <c r="Y25" s="2" t="s">
        <v>3961</v>
      </c>
      <c r="AB25" s="3">
        <v>42871</v>
      </c>
      <c r="AC25">
        <v>3.2</v>
      </c>
      <c r="AD25">
        <v>3.21</v>
      </c>
      <c r="AE25">
        <v>3.17</v>
      </c>
      <c r="AF25">
        <v>3.2</v>
      </c>
      <c r="AG25">
        <v>3.08</v>
      </c>
      <c r="AH25" s="2" t="s">
        <v>4044</v>
      </c>
      <c r="AK25" s="3">
        <v>42871</v>
      </c>
      <c r="AL25">
        <v>7.24</v>
      </c>
      <c r="AM25">
        <v>7.34</v>
      </c>
      <c r="AN25">
        <v>7.21</v>
      </c>
      <c r="AO25">
        <v>7.26</v>
      </c>
      <c r="AP25">
        <v>7.11</v>
      </c>
      <c r="AQ25" s="2" t="s">
        <v>4127</v>
      </c>
      <c r="AT25" s="3">
        <v>42871</v>
      </c>
      <c r="AU25">
        <v>1.51</v>
      </c>
      <c r="AV25">
        <v>1.56</v>
      </c>
      <c r="AW25">
        <v>1.51</v>
      </c>
      <c r="AX25">
        <v>1.54</v>
      </c>
      <c r="AY25">
        <v>1.47</v>
      </c>
      <c r="AZ25" s="2" t="s">
        <v>4210</v>
      </c>
      <c r="BC25" s="3">
        <v>42870</v>
      </c>
      <c r="BD25">
        <v>1.69</v>
      </c>
      <c r="BE25">
        <v>1.7</v>
      </c>
      <c r="BF25">
        <v>1.65</v>
      </c>
      <c r="BG25">
        <v>1.65</v>
      </c>
      <c r="BH25">
        <v>1.65</v>
      </c>
      <c r="BI25" s="2" t="s">
        <v>4286</v>
      </c>
      <c r="BL25" s="3">
        <v>42871</v>
      </c>
      <c r="BM25">
        <v>8.74</v>
      </c>
      <c r="BN25">
        <v>8.8000000000000007</v>
      </c>
      <c r="BO25">
        <v>8.67</v>
      </c>
      <c r="BP25">
        <v>8.74</v>
      </c>
      <c r="BQ25">
        <v>8.66</v>
      </c>
      <c r="BR25" s="2" t="s">
        <v>4369</v>
      </c>
      <c r="BU25" s="3">
        <v>42871</v>
      </c>
      <c r="BV25">
        <v>1.21</v>
      </c>
      <c r="BW25">
        <v>1.28</v>
      </c>
      <c r="BX25">
        <v>1.21</v>
      </c>
      <c r="BY25">
        <v>1.27</v>
      </c>
      <c r="BZ25">
        <v>1.25</v>
      </c>
      <c r="CA25" s="2" t="s">
        <v>4446</v>
      </c>
      <c r="CD25" s="3">
        <v>42871</v>
      </c>
      <c r="CE25">
        <v>6.5</v>
      </c>
      <c r="CF25">
        <v>6.59</v>
      </c>
      <c r="CG25">
        <v>6.41</v>
      </c>
      <c r="CH25">
        <v>6.48</v>
      </c>
      <c r="CI25">
        <v>6.43</v>
      </c>
      <c r="CJ25" s="2" t="s">
        <v>4522</v>
      </c>
      <c r="CM25" s="3">
        <v>42870</v>
      </c>
      <c r="CN25">
        <v>1.1000000000000001</v>
      </c>
      <c r="CO25">
        <v>1.1200000000000001</v>
      </c>
      <c r="CP25">
        <v>1.1000000000000001</v>
      </c>
      <c r="CQ25">
        <v>1.1200000000000001</v>
      </c>
      <c r="CR25">
        <v>1.1200000000000001</v>
      </c>
      <c r="CS25" s="2" t="s">
        <v>4606</v>
      </c>
      <c r="CV25" s="3">
        <v>42870</v>
      </c>
      <c r="CW25">
        <v>11.4</v>
      </c>
      <c r="CX25">
        <v>11.46</v>
      </c>
      <c r="CY25">
        <v>11.38</v>
      </c>
      <c r="CZ25">
        <v>11.4</v>
      </c>
      <c r="DA25">
        <v>11.4</v>
      </c>
      <c r="DB25" s="2" t="s">
        <v>4689</v>
      </c>
    </row>
    <row r="26" spans="10:106" x14ac:dyDescent="0.4">
      <c r="J26" s="3">
        <v>42871</v>
      </c>
      <c r="K26">
        <v>0.74</v>
      </c>
      <c r="L26">
        <v>0.75</v>
      </c>
      <c r="M26">
        <v>0.74</v>
      </c>
      <c r="N26">
        <v>0.74</v>
      </c>
      <c r="O26">
        <v>0.74</v>
      </c>
      <c r="P26" s="2" t="s">
        <v>3879</v>
      </c>
      <c r="S26" s="3">
        <v>42872</v>
      </c>
      <c r="T26">
        <v>44</v>
      </c>
      <c r="U26">
        <v>44.05</v>
      </c>
      <c r="V26">
        <v>43.5</v>
      </c>
      <c r="W26">
        <v>43.85</v>
      </c>
      <c r="X26">
        <v>43.75</v>
      </c>
      <c r="Y26" s="2" t="s">
        <v>3960</v>
      </c>
      <c r="AB26" s="3">
        <v>42872</v>
      </c>
      <c r="AC26">
        <v>3.2</v>
      </c>
      <c r="AD26">
        <v>3.21</v>
      </c>
      <c r="AE26">
        <v>3.17</v>
      </c>
      <c r="AF26">
        <v>3.18</v>
      </c>
      <c r="AG26">
        <v>3.06</v>
      </c>
      <c r="AH26" s="2" t="s">
        <v>4043</v>
      </c>
      <c r="AK26" s="3">
        <v>42872</v>
      </c>
      <c r="AL26">
        <v>7.29</v>
      </c>
      <c r="AM26">
        <v>7.29</v>
      </c>
      <c r="AN26">
        <v>7.1</v>
      </c>
      <c r="AO26">
        <v>7.11</v>
      </c>
      <c r="AP26">
        <v>6.96</v>
      </c>
      <c r="AQ26" s="2" t="s">
        <v>4126</v>
      </c>
      <c r="AT26" s="3">
        <v>42872</v>
      </c>
      <c r="AU26">
        <v>1.53</v>
      </c>
      <c r="AV26">
        <v>1.55</v>
      </c>
      <c r="AW26">
        <v>1.51</v>
      </c>
      <c r="AX26">
        <v>1.53</v>
      </c>
      <c r="AY26">
        <v>1.46</v>
      </c>
      <c r="AZ26" s="2" t="s">
        <v>4209</v>
      </c>
      <c r="BC26" s="3">
        <v>42871</v>
      </c>
      <c r="BD26">
        <v>1.65</v>
      </c>
      <c r="BE26">
        <v>1.67</v>
      </c>
      <c r="BF26">
        <v>1.65</v>
      </c>
      <c r="BG26">
        <v>1.66</v>
      </c>
      <c r="BH26">
        <v>1.66</v>
      </c>
      <c r="BI26" s="2" t="s">
        <v>4285</v>
      </c>
      <c r="BL26" s="3">
        <v>42872</v>
      </c>
      <c r="BM26">
        <v>8.74</v>
      </c>
      <c r="BN26">
        <v>8.7899999999999991</v>
      </c>
      <c r="BO26">
        <v>8.6199999999999992</v>
      </c>
      <c r="BP26">
        <v>8.7899999999999991</v>
      </c>
      <c r="BQ26">
        <v>8.7100000000000009</v>
      </c>
      <c r="BR26" s="2" t="s">
        <v>4368</v>
      </c>
      <c r="BU26" s="3">
        <v>42872</v>
      </c>
      <c r="BV26">
        <v>1.29</v>
      </c>
      <c r="BW26">
        <v>1.29</v>
      </c>
      <c r="BX26">
        <v>1.2</v>
      </c>
      <c r="BY26">
        <v>1.21</v>
      </c>
      <c r="BZ26">
        <v>1.19</v>
      </c>
      <c r="CA26" s="2" t="s">
        <v>4445</v>
      </c>
      <c r="CD26" s="3">
        <v>42872</v>
      </c>
      <c r="CE26">
        <v>6.56</v>
      </c>
      <c r="CF26">
        <v>6.74</v>
      </c>
      <c r="CG26">
        <v>6.52</v>
      </c>
      <c r="CH26">
        <v>6.68</v>
      </c>
      <c r="CI26">
        <v>6.63</v>
      </c>
      <c r="CJ26" s="2" t="s">
        <v>4521</v>
      </c>
      <c r="CM26" s="3">
        <v>42871</v>
      </c>
      <c r="CN26">
        <v>1.1200000000000001</v>
      </c>
      <c r="CO26">
        <v>1.1200000000000001</v>
      </c>
      <c r="CP26">
        <v>1.08</v>
      </c>
      <c r="CQ26">
        <v>1.1000000000000001</v>
      </c>
      <c r="CR26">
        <v>1.1000000000000001</v>
      </c>
      <c r="CS26" s="2" t="s">
        <v>4605</v>
      </c>
      <c r="CV26" s="3">
        <v>42871</v>
      </c>
      <c r="CW26">
        <v>11.4</v>
      </c>
      <c r="CX26">
        <v>11.44</v>
      </c>
      <c r="CY26">
        <v>11.32</v>
      </c>
      <c r="CZ26">
        <v>11.42</v>
      </c>
      <c r="DA26">
        <v>11.42</v>
      </c>
      <c r="DB26" s="2" t="s">
        <v>4688</v>
      </c>
    </row>
    <row r="27" spans="10:106" x14ac:dyDescent="0.4">
      <c r="J27" s="3">
        <v>42872</v>
      </c>
      <c r="K27">
        <v>0.75</v>
      </c>
      <c r="L27">
        <v>0.75</v>
      </c>
      <c r="M27">
        <v>0.73</v>
      </c>
      <c r="N27">
        <v>0.74</v>
      </c>
      <c r="O27">
        <v>0.74</v>
      </c>
      <c r="P27" s="2" t="s">
        <v>3864</v>
      </c>
      <c r="S27" s="3">
        <v>42873</v>
      </c>
      <c r="T27">
        <v>43.7</v>
      </c>
      <c r="U27">
        <v>48.05</v>
      </c>
      <c r="V27">
        <v>43.35</v>
      </c>
      <c r="W27">
        <v>46.85</v>
      </c>
      <c r="X27">
        <v>46.74</v>
      </c>
      <c r="Y27" s="2" t="s">
        <v>3959</v>
      </c>
      <c r="AB27" s="3">
        <v>42873</v>
      </c>
      <c r="AC27">
        <v>3.14</v>
      </c>
      <c r="AD27">
        <v>3.16</v>
      </c>
      <c r="AE27">
        <v>3.11</v>
      </c>
      <c r="AF27">
        <v>3.12</v>
      </c>
      <c r="AG27">
        <v>3</v>
      </c>
      <c r="AH27" s="2" t="s">
        <v>4042</v>
      </c>
      <c r="AK27" s="3">
        <v>42873</v>
      </c>
      <c r="AL27">
        <v>7.06</v>
      </c>
      <c r="AM27">
        <v>7.13</v>
      </c>
      <c r="AN27">
        <v>6.97</v>
      </c>
      <c r="AO27">
        <v>7.03</v>
      </c>
      <c r="AP27">
        <v>6.88</v>
      </c>
      <c r="AQ27" s="2" t="s">
        <v>4125</v>
      </c>
      <c r="AT27" s="3">
        <v>42873</v>
      </c>
      <c r="AU27">
        <v>1.51</v>
      </c>
      <c r="AV27">
        <v>1.53</v>
      </c>
      <c r="AW27">
        <v>1.49</v>
      </c>
      <c r="AX27">
        <v>1.52</v>
      </c>
      <c r="AY27">
        <v>1.45</v>
      </c>
      <c r="AZ27" s="2" t="s">
        <v>4208</v>
      </c>
      <c r="BC27" s="3">
        <v>42872</v>
      </c>
      <c r="BD27">
        <v>1.66</v>
      </c>
      <c r="BE27">
        <v>1.79</v>
      </c>
      <c r="BF27">
        <v>1.66</v>
      </c>
      <c r="BG27">
        <v>1.77</v>
      </c>
      <c r="BH27">
        <v>1.77</v>
      </c>
      <c r="BI27" s="2" t="s">
        <v>4284</v>
      </c>
      <c r="BL27" s="3">
        <v>42873</v>
      </c>
      <c r="BM27">
        <v>8.6999999999999993</v>
      </c>
      <c r="BN27">
        <v>8.75</v>
      </c>
      <c r="BO27">
        <v>8.65</v>
      </c>
      <c r="BP27">
        <v>8.6999999999999993</v>
      </c>
      <c r="BQ27">
        <v>8.6199999999999992</v>
      </c>
      <c r="BR27" s="2" t="s">
        <v>4367</v>
      </c>
      <c r="BU27" s="3">
        <v>42873</v>
      </c>
      <c r="BV27">
        <v>1.2</v>
      </c>
      <c r="BW27">
        <v>1.2</v>
      </c>
      <c r="BX27">
        <v>1.1499999999999999</v>
      </c>
      <c r="BY27">
        <v>1.19</v>
      </c>
      <c r="BZ27">
        <v>1.17</v>
      </c>
      <c r="CA27" s="2" t="s">
        <v>4444</v>
      </c>
      <c r="CD27" s="3">
        <v>42873</v>
      </c>
      <c r="CE27">
        <v>6.85</v>
      </c>
      <c r="CF27">
        <v>6.87</v>
      </c>
      <c r="CG27">
        <v>6.62</v>
      </c>
      <c r="CH27">
        <v>6.72</v>
      </c>
      <c r="CI27">
        <v>6.67</v>
      </c>
      <c r="CJ27" s="2" t="s">
        <v>4520</v>
      </c>
      <c r="CM27" s="3">
        <v>42872</v>
      </c>
      <c r="CN27">
        <v>1.0900000000000001</v>
      </c>
      <c r="CO27">
        <v>1.1200000000000001</v>
      </c>
      <c r="CP27">
        <v>1.0900000000000001</v>
      </c>
      <c r="CQ27">
        <v>1.1200000000000001</v>
      </c>
      <c r="CR27">
        <v>1.1200000000000001</v>
      </c>
      <c r="CS27" s="2" t="s">
        <v>4604</v>
      </c>
      <c r="CV27" s="3">
        <v>42872</v>
      </c>
      <c r="CW27">
        <v>11.44</v>
      </c>
      <c r="CX27">
        <v>11.44</v>
      </c>
      <c r="CY27">
        <v>11.32</v>
      </c>
      <c r="CZ27">
        <v>11.34</v>
      </c>
      <c r="DA27">
        <v>11.34</v>
      </c>
      <c r="DB27" s="2" t="s">
        <v>4687</v>
      </c>
    </row>
    <row r="28" spans="10:106" x14ac:dyDescent="0.4">
      <c r="J28" s="3">
        <v>42873</v>
      </c>
      <c r="K28">
        <v>0.74</v>
      </c>
      <c r="L28">
        <v>0.74</v>
      </c>
      <c r="M28">
        <v>0.71</v>
      </c>
      <c r="N28">
        <v>0.72</v>
      </c>
      <c r="O28">
        <v>0.72</v>
      </c>
      <c r="P28" s="2" t="s">
        <v>3878</v>
      </c>
      <c r="S28" s="3">
        <v>42874</v>
      </c>
      <c r="T28">
        <v>47.2</v>
      </c>
      <c r="U28">
        <v>48</v>
      </c>
      <c r="V28">
        <v>46</v>
      </c>
      <c r="W28">
        <v>46.9</v>
      </c>
      <c r="X28">
        <v>46.79</v>
      </c>
      <c r="Y28" s="2" t="s">
        <v>3958</v>
      </c>
      <c r="AB28" s="3">
        <v>42874</v>
      </c>
      <c r="AC28">
        <v>3.12</v>
      </c>
      <c r="AD28">
        <v>3.15</v>
      </c>
      <c r="AE28">
        <v>3.11</v>
      </c>
      <c r="AF28">
        <v>3.12</v>
      </c>
      <c r="AG28">
        <v>3</v>
      </c>
      <c r="AH28" s="2" t="s">
        <v>4041</v>
      </c>
      <c r="AK28" s="3">
        <v>42874</v>
      </c>
      <c r="AL28">
        <v>7.06</v>
      </c>
      <c r="AM28">
        <v>7.1</v>
      </c>
      <c r="AN28">
        <v>7</v>
      </c>
      <c r="AO28">
        <v>7.1</v>
      </c>
      <c r="AP28">
        <v>6.95</v>
      </c>
      <c r="AQ28" s="2" t="s">
        <v>4124</v>
      </c>
      <c r="AT28" s="3">
        <v>42874</v>
      </c>
      <c r="AU28">
        <v>1.51</v>
      </c>
      <c r="AV28">
        <v>1.53</v>
      </c>
      <c r="AW28">
        <v>1.51</v>
      </c>
      <c r="AX28">
        <v>1.53</v>
      </c>
      <c r="AY28">
        <v>1.46</v>
      </c>
      <c r="AZ28" s="2" t="s">
        <v>4207</v>
      </c>
      <c r="BC28" s="3">
        <v>42873</v>
      </c>
      <c r="BD28">
        <v>1.77</v>
      </c>
      <c r="BE28">
        <v>1.79</v>
      </c>
      <c r="BF28">
        <v>1.74</v>
      </c>
      <c r="BG28">
        <v>1.75</v>
      </c>
      <c r="BH28">
        <v>1.75</v>
      </c>
      <c r="BI28" s="2" t="s">
        <v>4283</v>
      </c>
      <c r="BL28" s="3">
        <v>42874</v>
      </c>
      <c r="BM28">
        <v>8.76</v>
      </c>
      <c r="BN28">
        <v>8.76</v>
      </c>
      <c r="BO28">
        <v>8.64</v>
      </c>
      <c r="BP28">
        <v>8.69</v>
      </c>
      <c r="BQ28">
        <v>8.61</v>
      </c>
      <c r="BR28" s="2" t="s">
        <v>4366</v>
      </c>
      <c r="BU28" s="3">
        <v>42874</v>
      </c>
      <c r="BV28">
        <v>1.19</v>
      </c>
      <c r="BW28">
        <v>1.2</v>
      </c>
      <c r="BX28">
        <v>1.17</v>
      </c>
      <c r="BY28">
        <v>1.2</v>
      </c>
      <c r="BZ28">
        <v>1.18</v>
      </c>
      <c r="CA28" s="2" t="s">
        <v>4431</v>
      </c>
      <c r="CD28" s="3">
        <v>42874</v>
      </c>
      <c r="CE28">
        <v>6.59</v>
      </c>
      <c r="CF28">
        <v>6.66</v>
      </c>
      <c r="CG28">
        <v>6.52</v>
      </c>
      <c r="CH28">
        <v>6.6</v>
      </c>
      <c r="CI28">
        <v>6.55</v>
      </c>
      <c r="CJ28" s="2" t="s">
        <v>4519</v>
      </c>
      <c r="CM28" s="3">
        <v>42873</v>
      </c>
      <c r="CN28">
        <v>1.1100000000000001</v>
      </c>
      <c r="CO28">
        <v>1.1399999999999999</v>
      </c>
      <c r="CP28">
        <v>1.1100000000000001</v>
      </c>
      <c r="CQ28">
        <v>1.1299999999999999</v>
      </c>
      <c r="CR28">
        <v>1.1299999999999999</v>
      </c>
      <c r="CS28" s="2" t="s">
        <v>4603</v>
      </c>
      <c r="CV28" s="3">
        <v>42873</v>
      </c>
      <c r="CW28">
        <v>11.28</v>
      </c>
      <c r="CX28">
        <v>11.34</v>
      </c>
      <c r="CY28">
        <v>11.26</v>
      </c>
      <c r="CZ28">
        <v>11.26</v>
      </c>
      <c r="DA28">
        <v>11.26</v>
      </c>
      <c r="DB28" s="2" t="s">
        <v>4686</v>
      </c>
    </row>
    <row r="29" spans="10:106" x14ac:dyDescent="0.4">
      <c r="J29" s="3">
        <v>42874</v>
      </c>
      <c r="K29">
        <v>0.71</v>
      </c>
      <c r="L29">
        <v>0.75</v>
      </c>
      <c r="M29">
        <v>0.71</v>
      </c>
      <c r="N29">
        <v>0.75</v>
      </c>
      <c r="O29">
        <v>0.75</v>
      </c>
      <c r="P29" s="2" t="s">
        <v>3845</v>
      </c>
      <c r="S29" s="3">
        <v>42877</v>
      </c>
      <c r="T29">
        <v>46.9</v>
      </c>
      <c r="U29">
        <v>47.8</v>
      </c>
      <c r="V29">
        <v>46.6</v>
      </c>
      <c r="W29">
        <v>47.35</v>
      </c>
      <c r="X29">
        <v>47.24</v>
      </c>
      <c r="Y29" s="2" t="s">
        <v>3957</v>
      </c>
      <c r="AB29" s="3">
        <v>42877</v>
      </c>
      <c r="AC29">
        <v>3.13</v>
      </c>
      <c r="AD29">
        <v>3.15</v>
      </c>
      <c r="AE29">
        <v>3.12</v>
      </c>
      <c r="AF29">
        <v>3.12</v>
      </c>
      <c r="AG29">
        <v>3</v>
      </c>
      <c r="AH29" s="2" t="s">
        <v>4040</v>
      </c>
      <c r="AK29" s="3">
        <v>42877</v>
      </c>
      <c r="AL29">
        <v>7.06</v>
      </c>
      <c r="AM29">
        <v>7.28</v>
      </c>
      <c r="AN29">
        <v>7.06</v>
      </c>
      <c r="AO29">
        <v>7.24</v>
      </c>
      <c r="AP29">
        <v>7.09</v>
      </c>
      <c r="AQ29" s="2" t="s">
        <v>4123</v>
      </c>
      <c r="AT29" s="3">
        <v>42877</v>
      </c>
      <c r="AU29">
        <v>1.53</v>
      </c>
      <c r="AV29">
        <v>1.53</v>
      </c>
      <c r="AW29">
        <v>1.5</v>
      </c>
      <c r="AX29">
        <v>1.52</v>
      </c>
      <c r="AY29">
        <v>1.45</v>
      </c>
      <c r="AZ29" s="2" t="s">
        <v>4206</v>
      </c>
      <c r="BC29" s="3">
        <v>42874</v>
      </c>
      <c r="BD29">
        <v>1.75</v>
      </c>
      <c r="BE29">
        <v>1.77</v>
      </c>
      <c r="BF29">
        <v>1.73</v>
      </c>
      <c r="BG29">
        <v>1.73</v>
      </c>
      <c r="BH29">
        <v>1.73</v>
      </c>
      <c r="BI29" s="2" t="s">
        <v>4282</v>
      </c>
      <c r="BL29" s="3">
        <v>42877</v>
      </c>
      <c r="BM29">
        <v>8.59</v>
      </c>
      <c r="BN29">
        <v>8.7200000000000006</v>
      </c>
      <c r="BO29">
        <v>8.4700000000000006</v>
      </c>
      <c r="BP29">
        <v>8.6999999999999993</v>
      </c>
      <c r="BQ29">
        <v>8.6999999999999993</v>
      </c>
      <c r="BR29" s="2" t="s">
        <v>4365</v>
      </c>
      <c r="BU29" s="3">
        <v>42877</v>
      </c>
      <c r="BV29">
        <v>1.19</v>
      </c>
      <c r="BW29">
        <v>1.2</v>
      </c>
      <c r="BX29">
        <v>1.1599999999999999</v>
      </c>
      <c r="BY29">
        <v>1.18</v>
      </c>
      <c r="BZ29">
        <v>1.1599999999999999</v>
      </c>
      <c r="CA29" s="2" t="s">
        <v>4443</v>
      </c>
      <c r="CD29" s="3">
        <v>42877</v>
      </c>
      <c r="CE29">
        <v>6.6</v>
      </c>
      <c r="CF29">
        <v>6.68</v>
      </c>
      <c r="CG29">
        <v>6.59</v>
      </c>
      <c r="CH29">
        <v>6.62</v>
      </c>
      <c r="CI29">
        <v>6.57</v>
      </c>
      <c r="CJ29" s="2" t="s">
        <v>4518</v>
      </c>
      <c r="CM29" s="3">
        <v>42874</v>
      </c>
      <c r="CN29">
        <v>1.1299999999999999</v>
      </c>
      <c r="CO29">
        <v>1.1399999999999999</v>
      </c>
      <c r="CP29">
        <v>1.1100000000000001</v>
      </c>
      <c r="CQ29">
        <v>1.1100000000000001</v>
      </c>
      <c r="CR29">
        <v>1.1100000000000001</v>
      </c>
      <c r="CS29" s="2" t="s">
        <v>4602</v>
      </c>
      <c r="CV29" s="3">
        <v>42874</v>
      </c>
      <c r="CW29">
        <v>11.28</v>
      </c>
      <c r="CX29">
        <v>11.34</v>
      </c>
      <c r="CY29">
        <v>11.26</v>
      </c>
      <c r="CZ29">
        <v>11.32</v>
      </c>
      <c r="DA29">
        <v>11.32</v>
      </c>
      <c r="DB29" s="2" t="s">
        <v>4685</v>
      </c>
    </row>
    <row r="30" spans="10:106" x14ac:dyDescent="0.4">
      <c r="J30" s="3">
        <v>42877</v>
      </c>
      <c r="K30">
        <v>0.73</v>
      </c>
      <c r="L30">
        <v>0.74</v>
      </c>
      <c r="M30">
        <v>0.71</v>
      </c>
      <c r="N30">
        <v>0.74</v>
      </c>
      <c r="O30">
        <v>0.74</v>
      </c>
      <c r="P30" s="2" t="s">
        <v>3877</v>
      </c>
      <c r="S30" s="3">
        <v>42878</v>
      </c>
      <c r="T30">
        <v>47.5</v>
      </c>
      <c r="U30">
        <v>49.55</v>
      </c>
      <c r="V30">
        <v>47.3</v>
      </c>
      <c r="W30">
        <v>49.05</v>
      </c>
      <c r="X30">
        <v>48.94</v>
      </c>
      <c r="Y30" s="2" t="s">
        <v>3956</v>
      </c>
      <c r="AB30" s="3">
        <v>42878</v>
      </c>
      <c r="AC30">
        <v>3.12</v>
      </c>
      <c r="AD30">
        <v>3.14</v>
      </c>
      <c r="AE30">
        <v>3.11</v>
      </c>
      <c r="AF30">
        <v>3.12</v>
      </c>
      <c r="AG30">
        <v>3</v>
      </c>
      <c r="AH30" s="2" t="s">
        <v>4039</v>
      </c>
      <c r="AK30" s="3">
        <v>42878</v>
      </c>
      <c r="AL30">
        <v>7.29</v>
      </c>
      <c r="AM30">
        <v>7.4</v>
      </c>
      <c r="AN30">
        <v>7.2</v>
      </c>
      <c r="AO30">
        <v>7.34</v>
      </c>
      <c r="AP30">
        <v>7.18</v>
      </c>
      <c r="AQ30" s="2" t="s">
        <v>4122</v>
      </c>
      <c r="AT30" s="3">
        <v>42878</v>
      </c>
      <c r="AU30">
        <v>1.51</v>
      </c>
      <c r="AV30">
        <v>1.53</v>
      </c>
      <c r="AW30">
        <v>1.5</v>
      </c>
      <c r="AX30">
        <v>1.53</v>
      </c>
      <c r="AY30">
        <v>1.46</v>
      </c>
      <c r="AZ30" s="2" t="s">
        <v>4205</v>
      </c>
      <c r="BC30" s="3">
        <v>42877</v>
      </c>
      <c r="BD30">
        <v>1.75</v>
      </c>
      <c r="BE30">
        <v>1.75</v>
      </c>
      <c r="BF30">
        <v>1.73</v>
      </c>
      <c r="BG30">
        <v>1.74</v>
      </c>
      <c r="BH30">
        <v>1.74</v>
      </c>
      <c r="BI30" s="2" t="s">
        <v>4281</v>
      </c>
      <c r="BL30" s="3">
        <v>42878</v>
      </c>
      <c r="BM30">
        <v>8.66</v>
      </c>
      <c r="BN30">
        <v>8.9</v>
      </c>
      <c r="BO30">
        <v>8.66</v>
      </c>
      <c r="BP30">
        <v>8.9</v>
      </c>
      <c r="BQ30">
        <v>8.9</v>
      </c>
      <c r="BR30" s="2" t="s">
        <v>4364</v>
      </c>
      <c r="BU30" s="3">
        <v>42878</v>
      </c>
      <c r="BV30">
        <v>1.18</v>
      </c>
      <c r="BW30">
        <v>1.19</v>
      </c>
      <c r="BX30">
        <v>1.17</v>
      </c>
      <c r="BY30">
        <v>1.17</v>
      </c>
      <c r="BZ30">
        <v>1.1599999999999999</v>
      </c>
      <c r="CA30" s="2" t="s">
        <v>4442</v>
      </c>
      <c r="CD30" s="3">
        <v>42878</v>
      </c>
      <c r="CE30">
        <v>6.65</v>
      </c>
      <c r="CF30">
        <v>6.74</v>
      </c>
      <c r="CG30">
        <v>6.6</v>
      </c>
      <c r="CH30">
        <v>6.65</v>
      </c>
      <c r="CI30">
        <v>6.6</v>
      </c>
      <c r="CJ30" s="2" t="s">
        <v>4517</v>
      </c>
      <c r="CM30" s="3">
        <v>42877</v>
      </c>
      <c r="CN30">
        <v>1.1100000000000001</v>
      </c>
      <c r="CO30">
        <v>1.1299999999999999</v>
      </c>
      <c r="CP30">
        <v>1.1100000000000001</v>
      </c>
      <c r="CQ30">
        <v>1.1200000000000001</v>
      </c>
      <c r="CR30">
        <v>1.1200000000000001</v>
      </c>
      <c r="CS30" s="2" t="s">
        <v>4601</v>
      </c>
      <c r="CV30" s="3">
        <v>42877</v>
      </c>
      <c r="CW30">
        <v>11.34</v>
      </c>
      <c r="CX30">
        <v>11.46</v>
      </c>
      <c r="CY30">
        <v>11.32</v>
      </c>
      <c r="CZ30">
        <v>11.44</v>
      </c>
      <c r="DA30">
        <v>11.44</v>
      </c>
      <c r="DB30" s="2" t="s">
        <v>4684</v>
      </c>
    </row>
    <row r="31" spans="10:106" x14ac:dyDescent="0.4">
      <c r="J31" s="3">
        <v>42878</v>
      </c>
      <c r="K31">
        <v>0.72</v>
      </c>
      <c r="L31">
        <v>0.73</v>
      </c>
      <c r="M31">
        <v>0.72</v>
      </c>
      <c r="N31">
        <v>0.72</v>
      </c>
      <c r="O31">
        <v>0.72</v>
      </c>
      <c r="P31" s="2" t="s">
        <v>3876</v>
      </c>
      <c r="S31" s="3">
        <v>42879</v>
      </c>
      <c r="T31">
        <v>49.3</v>
      </c>
      <c r="U31">
        <v>49.9</v>
      </c>
      <c r="V31">
        <v>48.1</v>
      </c>
      <c r="W31">
        <v>49.05</v>
      </c>
      <c r="X31">
        <v>48.94</v>
      </c>
      <c r="Y31" s="2" t="s">
        <v>3955</v>
      </c>
      <c r="AB31" s="3">
        <v>42879</v>
      </c>
      <c r="AC31">
        <v>3.13</v>
      </c>
      <c r="AD31">
        <v>3.14</v>
      </c>
      <c r="AE31">
        <v>3.11</v>
      </c>
      <c r="AF31">
        <v>3.13</v>
      </c>
      <c r="AG31">
        <v>3.01</v>
      </c>
      <c r="AH31" s="2" t="s">
        <v>4038</v>
      </c>
      <c r="AK31" s="3">
        <v>42879</v>
      </c>
      <c r="AL31">
        <v>7.34</v>
      </c>
      <c r="AM31">
        <v>7.37</v>
      </c>
      <c r="AN31">
        <v>7.17</v>
      </c>
      <c r="AO31">
        <v>7.27</v>
      </c>
      <c r="AP31">
        <v>7.12</v>
      </c>
      <c r="AQ31" s="2" t="s">
        <v>4121</v>
      </c>
      <c r="AT31" s="3">
        <v>42879</v>
      </c>
      <c r="AU31">
        <v>1.53</v>
      </c>
      <c r="AV31">
        <v>1.53</v>
      </c>
      <c r="AW31">
        <v>1.47</v>
      </c>
      <c r="AX31">
        <v>1.51</v>
      </c>
      <c r="AY31">
        <v>1.44</v>
      </c>
      <c r="AZ31" s="2" t="s">
        <v>4204</v>
      </c>
      <c r="BC31" s="3">
        <v>42878</v>
      </c>
      <c r="BD31">
        <v>1.74</v>
      </c>
      <c r="BE31">
        <v>1.74</v>
      </c>
      <c r="BF31">
        <v>1.61</v>
      </c>
      <c r="BG31">
        <v>1.62</v>
      </c>
      <c r="BH31">
        <v>1.62</v>
      </c>
      <c r="BI31" s="2" t="s">
        <v>4280</v>
      </c>
      <c r="BL31" s="3">
        <v>42879</v>
      </c>
      <c r="BM31">
        <v>8.92</v>
      </c>
      <c r="BN31">
        <v>8.9600000000000009</v>
      </c>
      <c r="BO31">
        <v>8.89</v>
      </c>
      <c r="BP31">
        <v>8.91</v>
      </c>
      <c r="BQ31">
        <v>8.91</v>
      </c>
      <c r="BR31" s="2" t="s">
        <v>4363</v>
      </c>
      <c r="BU31" s="3">
        <v>42879</v>
      </c>
      <c r="BV31">
        <v>1.1599999999999999</v>
      </c>
      <c r="BW31">
        <v>1.19</v>
      </c>
      <c r="BX31">
        <v>1.1599999999999999</v>
      </c>
      <c r="BY31">
        <v>1.19</v>
      </c>
      <c r="BZ31">
        <v>1.17</v>
      </c>
      <c r="CA31" s="2" t="s">
        <v>3954</v>
      </c>
      <c r="CD31" s="3">
        <v>42879</v>
      </c>
      <c r="CE31">
        <v>6.66</v>
      </c>
      <c r="CF31">
        <v>6.67</v>
      </c>
      <c r="CG31">
        <v>6.53</v>
      </c>
      <c r="CH31">
        <v>6.58</v>
      </c>
      <c r="CI31">
        <v>6.53</v>
      </c>
      <c r="CJ31" s="2" t="s">
        <v>4516</v>
      </c>
      <c r="CM31" s="3">
        <v>42878</v>
      </c>
      <c r="CN31">
        <v>1.1200000000000001</v>
      </c>
      <c r="CO31">
        <v>1.1299999999999999</v>
      </c>
      <c r="CP31">
        <v>1.1000000000000001</v>
      </c>
      <c r="CQ31">
        <v>1.1299999999999999</v>
      </c>
      <c r="CR31">
        <v>1.1299999999999999</v>
      </c>
      <c r="CS31" s="2" t="s">
        <v>4600</v>
      </c>
      <c r="CV31" s="3">
        <v>42878</v>
      </c>
      <c r="CW31">
        <v>11.46</v>
      </c>
      <c r="CX31">
        <v>11.6</v>
      </c>
      <c r="CY31">
        <v>11.42</v>
      </c>
      <c r="CZ31">
        <v>11.54</v>
      </c>
      <c r="DA31">
        <v>11.54</v>
      </c>
      <c r="DB31" s="2" t="s">
        <v>4683</v>
      </c>
    </row>
    <row r="32" spans="10:106" x14ac:dyDescent="0.4">
      <c r="J32" s="3">
        <v>42879</v>
      </c>
      <c r="K32">
        <v>0.72</v>
      </c>
      <c r="L32">
        <v>0.74</v>
      </c>
      <c r="M32">
        <v>0.71</v>
      </c>
      <c r="N32">
        <v>0.73</v>
      </c>
      <c r="O32">
        <v>0.73</v>
      </c>
      <c r="P32" s="2" t="s">
        <v>3875</v>
      </c>
      <c r="S32" s="3">
        <v>42880</v>
      </c>
      <c r="T32">
        <v>49.15</v>
      </c>
      <c r="U32">
        <v>49.2</v>
      </c>
      <c r="V32">
        <v>48.3</v>
      </c>
      <c r="W32">
        <v>48.35</v>
      </c>
      <c r="X32">
        <v>48.24</v>
      </c>
      <c r="Y32" s="2" t="s">
        <v>3954</v>
      </c>
      <c r="AB32" s="3">
        <v>42880</v>
      </c>
      <c r="AC32">
        <v>3.14</v>
      </c>
      <c r="AD32">
        <v>3.18</v>
      </c>
      <c r="AE32">
        <v>3.12</v>
      </c>
      <c r="AF32">
        <v>3.15</v>
      </c>
      <c r="AG32">
        <v>3.03</v>
      </c>
      <c r="AH32" s="2" t="s">
        <v>4037</v>
      </c>
      <c r="AK32" s="3">
        <v>42880</v>
      </c>
      <c r="AL32">
        <v>7.23</v>
      </c>
      <c r="AM32">
        <v>7.33</v>
      </c>
      <c r="AN32">
        <v>7.21</v>
      </c>
      <c r="AO32">
        <v>7.25</v>
      </c>
      <c r="AP32">
        <v>7.1</v>
      </c>
      <c r="AQ32" s="2" t="s">
        <v>4120</v>
      </c>
      <c r="AT32" s="3">
        <v>42880</v>
      </c>
      <c r="AU32">
        <v>1.53</v>
      </c>
      <c r="AV32">
        <v>1.53</v>
      </c>
      <c r="AW32">
        <v>1.48</v>
      </c>
      <c r="AX32">
        <v>1.5</v>
      </c>
      <c r="AY32">
        <v>1.43</v>
      </c>
      <c r="AZ32" s="2" t="s">
        <v>4203</v>
      </c>
      <c r="BC32" s="3">
        <v>42879</v>
      </c>
      <c r="BD32">
        <v>1.63</v>
      </c>
      <c r="BE32">
        <v>1.7</v>
      </c>
      <c r="BF32">
        <v>1.63</v>
      </c>
      <c r="BG32">
        <v>1.67</v>
      </c>
      <c r="BH32">
        <v>1.67</v>
      </c>
      <c r="BI32" s="2" t="s">
        <v>4279</v>
      </c>
      <c r="BL32" s="3">
        <v>42880</v>
      </c>
      <c r="BM32">
        <v>8.9499999999999993</v>
      </c>
      <c r="BN32">
        <v>8.99</v>
      </c>
      <c r="BO32">
        <v>8.9499999999999993</v>
      </c>
      <c r="BP32">
        <v>8.98</v>
      </c>
      <c r="BQ32">
        <v>8.98</v>
      </c>
      <c r="BR32" s="2" t="s">
        <v>4362</v>
      </c>
      <c r="BU32" s="3">
        <v>42880</v>
      </c>
      <c r="BV32">
        <v>1.18</v>
      </c>
      <c r="BW32">
        <v>1.19</v>
      </c>
      <c r="BX32">
        <v>1.17</v>
      </c>
      <c r="BY32">
        <v>1.19</v>
      </c>
      <c r="BZ32">
        <v>1.17</v>
      </c>
      <c r="CA32" s="2" t="s">
        <v>4441</v>
      </c>
      <c r="CD32" s="3">
        <v>42880</v>
      </c>
      <c r="CE32">
        <v>6.58</v>
      </c>
      <c r="CF32">
        <v>6.58</v>
      </c>
      <c r="CG32">
        <v>6.42</v>
      </c>
      <c r="CH32">
        <v>6.54</v>
      </c>
      <c r="CI32">
        <v>6.49</v>
      </c>
      <c r="CJ32" s="2" t="s">
        <v>4515</v>
      </c>
      <c r="CM32" s="3">
        <v>42879</v>
      </c>
      <c r="CN32">
        <v>1.1299999999999999</v>
      </c>
      <c r="CO32">
        <v>1.1299999999999999</v>
      </c>
      <c r="CP32">
        <v>1.1100000000000001</v>
      </c>
      <c r="CQ32">
        <v>1.1299999999999999</v>
      </c>
      <c r="CR32">
        <v>1.1299999999999999</v>
      </c>
      <c r="CS32" s="2" t="s">
        <v>4599</v>
      </c>
      <c r="CV32" s="3">
        <v>42880</v>
      </c>
      <c r="CW32">
        <v>11.5</v>
      </c>
      <c r="CX32">
        <v>11.9</v>
      </c>
      <c r="CY32">
        <v>11.5</v>
      </c>
      <c r="CZ32">
        <v>11.86</v>
      </c>
      <c r="DA32">
        <v>11.86</v>
      </c>
      <c r="DB32" s="2" t="s">
        <v>4682</v>
      </c>
    </row>
    <row r="33" spans="10:106" x14ac:dyDescent="0.4">
      <c r="J33" s="3">
        <v>42880</v>
      </c>
      <c r="K33">
        <v>0.72</v>
      </c>
      <c r="L33">
        <v>0.75</v>
      </c>
      <c r="M33">
        <v>0.72</v>
      </c>
      <c r="N33">
        <v>0.74</v>
      </c>
      <c r="O33">
        <v>0.74</v>
      </c>
      <c r="P33" s="2" t="s">
        <v>3845</v>
      </c>
      <c r="S33" s="3">
        <v>42881</v>
      </c>
      <c r="T33">
        <v>47.4</v>
      </c>
      <c r="U33">
        <v>48.9</v>
      </c>
      <c r="V33">
        <v>47.4</v>
      </c>
      <c r="W33">
        <v>48.2</v>
      </c>
      <c r="X33">
        <v>48.09</v>
      </c>
      <c r="Y33" s="2" t="s">
        <v>3953</v>
      </c>
      <c r="AB33" s="3">
        <v>42881</v>
      </c>
      <c r="AC33">
        <v>3.16</v>
      </c>
      <c r="AD33">
        <v>3.2</v>
      </c>
      <c r="AE33">
        <v>3.16</v>
      </c>
      <c r="AF33">
        <v>3.17</v>
      </c>
      <c r="AG33">
        <v>3.05</v>
      </c>
      <c r="AH33" s="2" t="s">
        <v>4036</v>
      </c>
      <c r="AK33" s="3">
        <v>42881</v>
      </c>
      <c r="AL33">
        <v>7.3</v>
      </c>
      <c r="AM33">
        <v>7.42</v>
      </c>
      <c r="AN33">
        <v>7.28</v>
      </c>
      <c r="AO33">
        <v>7.36</v>
      </c>
      <c r="AP33">
        <v>7.2</v>
      </c>
      <c r="AQ33" s="2" t="s">
        <v>4119</v>
      </c>
      <c r="AT33" s="3">
        <v>42881</v>
      </c>
      <c r="AU33">
        <v>1.5</v>
      </c>
      <c r="AV33">
        <v>1.54</v>
      </c>
      <c r="AW33">
        <v>1.5</v>
      </c>
      <c r="AX33">
        <v>1.52</v>
      </c>
      <c r="AY33">
        <v>1.45</v>
      </c>
      <c r="AZ33" s="2" t="s">
        <v>4202</v>
      </c>
      <c r="BC33" s="3">
        <v>42880</v>
      </c>
      <c r="BD33">
        <v>1.69</v>
      </c>
      <c r="BE33">
        <v>1.73</v>
      </c>
      <c r="BF33">
        <v>1.67</v>
      </c>
      <c r="BG33">
        <v>1.71</v>
      </c>
      <c r="BH33">
        <v>1.71</v>
      </c>
      <c r="BI33" s="2" t="s">
        <v>4278</v>
      </c>
      <c r="BL33" s="3">
        <v>42881</v>
      </c>
      <c r="BM33">
        <v>8.99</v>
      </c>
      <c r="BN33">
        <v>9.1</v>
      </c>
      <c r="BO33">
        <v>8.9600000000000009</v>
      </c>
      <c r="BP33">
        <v>8.9600000000000009</v>
      </c>
      <c r="BQ33">
        <v>8.9600000000000009</v>
      </c>
      <c r="BR33" s="2" t="s">
        <v>4361</v>
      </c>
      <c r="BU33" s="3">
        <v>42881</v>
      </c>
      <c r="BV33">
        <v>1.19</v>
      </c>
      <c r="BW33">
        <v>1.19</v>
      </c>
      <c r="BX33">
        <v>1.17</v>
      </c>
      <c r="BY33">
        <v>1.17</v>
      </c>
      <c r="BZ33">
        <v>1.1599999999999999</v>
      </c>
      <c r="CA33" s="2" t="s">
        <v>4440</v>
      </c>
      <c r="CD33" s="3">
        <v>42881</v>
      </c>
      <c r="CE33">
        <v>6.59</v>
      </c>
      <c r="CF33">
        <v>6.59</v>
      </c>
      <c r="CG33">
        <v>6.44</v>
      </c>
      <c r="CH33">
        <v>6.53</v>
      </c>
      <c r="CI33">
        <v>6.48</v>
      </c>
      <c r="CJ33" s="2" t="s">
        <v>4514</v>
      </c>
      <c r="CM33" s="3">
        <v>42880</v>
      </c>
      <c r="CN33">
        <v>1.1200000000000001</v>
      </c>
      <c r="CO33">
        <v>1.1499999999999999</v>
      </c>
      <c r="CP33">
        <v>1.1100000000000001</v>
      </c>
      <c r="CQ33">
        <v>1.1299999999999999</v>
      </c>
      <c r="CR33">
        <v>1.1299999999999999</v>
      </c>
      <c r="CS33" s="2" t="s">
        <v>4598</v>
      </c>
      <c r="CV33" s="3">
        <v>42881</v>
      </c>
      <c r="CW33">
        <v>11.9</v>
      </c>
      <c r="CX33">
        <v>11.98</v>
      </c>
      <c r="CY33">
        <v>11.84</v>
      </c>
      <c r="CZ33">
        <v>11.9</v>
      </c>
      <c r="DA33">
        <v>11.9</v>
      </c>
      <c r="DB33" s="2" t="s">
        <v>4681</v>
      </c>
    </row>
    <row r="34" spans="10:106" x14ac:dyDescent="0.4">
      <c r="J34" s="3">
        <v>42881</v>
      </c>
      <c r="K34">
        <v>0.72</v>
      </c>
      <c r="L34">
        <v>0.82</v>
      </c>
      <c r="M34">
        <v>0.72</v>
      </c>
      <c r="N34">
        <v>0.74</v>
      </c>
      <c r="O34">
        <v>0.74</v>
      </c>
      <c r="P34" s="2" t="s">
        <v>3874</v>
      </c>
      <c r="S34" s="3">
        <v>42884</v>
      </c>
      <c r="T34">
        <v>48.85</v>
      </c>
      <c r="U34">
        <v>51.1</v>
      </c>
      <c r="V34">
        <v>48.7</v>
      </c>
      <c r="W34">
        <v>50.6</v>
      </c>
      <c r="X34">
        <v>50.48</v>
      </c>
      <c r="Y34" s="2" t="s">
        <v>3952</v>
      </c>
      <c r="AB34" s="3">
        <v>42884</v>
      </c>
      <c r="AC34">
        <v>3.18</v>
      </c>
      <c r="AD34">
        <v>3.21</v>
      </c>
      <c r="AE34">
        <v>3.16</v>
      </c>
      <c r="AF34">
        <v>3.18</v>
      </c>
      <c r="AG34">
        <v>3.06</v>
      </c>
      <c r="AH34" s="2" t="s">
        <v>4035</v>
      </c>
      <c r="AK34" s="3">
        <v>42884</v>
      </c>
      <c r="AL34">
        <v>7.37</v>
      </c>
      <c r="AM34">
        <v>7.45</v>
      </c>
      <c r="AN34">
        <v>7.36</v>
      </c>
      <c r="AO34">
        <v>7.41</v>
      </c>
      <c r="AP34">
        <v>7.25</v>
      </c>
      <c r="AQ34" s="2" t="s">
        <v>4118</v>
      </c>
      <c r="AT34" s="3">
        <v>42884</v>
      </c>
      <c r="AU34">
        <v>1.51</v>
      </c>
      <c r="AV34">
        <v>1.53</v>
      </c>
      <c r="AW34">
        <v>1.5</v>
      </c>
      <c r="AX34">
        <v>1.51</v>
      </c>
      <c r="AY34">
        <v>1.44</v>
      </c>
      <c r="AZ34" s="2" t="s">
        <v>4201</v>
      </c>
      <c r="BC34" s="3">
        <v>42881</v>
      </c>
      <c r="BD34">
        <v>1.7</v>
      </c>
      <c r="BE34">
        <v>1.72</v>
      </c>
      <c r="BF34">
        <v>1.67</v>
      </c>
      <c r="BG34">
        <v>1.71</v>
      </c>
      <c r="BH34">
        <v>1.71</v>
      </c>
      <c r="BI34" s="2" t="s">
        <v>4277</v>
      </c>
      <c r="BL34" s="3">
        <v>42884</v>
      </c>
      <c r="BM34">
        <v>9</v>
      </c>
      <c r="BN34">
        <v>9.18</v>
      </c>
      <c r="BO34">
        <v>9</v>
      </c>
      <c r="BP34">
        <v>9.0399999999999991</v>
      </c>
      <c r="BQ34">
        <v>9.0399999999999991</v>
      </c>
      <c r="BR34" s="2" t="s">
        <v>4360</v>
      </c>
      <c r="BU34" s="3">
        <v>42884</v>
      </c>
      <c r="BV34">
        <v>1.17</v>
      </c>
      <c r="BW34">
        <v>1.19</v>
      </c>
      <c r="BX34">
        <v>1.1599999999999999</v>
      </c>
      <c r="BY34">
        <v>1.1599999999999999</v>
      </c>
      <c r="BZ34">
        <v>1.1499999999999999</v>
      </c>
      <c r="CA34" s="2" t="s">
        <v>4439</v>
      </c>
      <c r="CD34" s="3">
        <v>42884</v>
      </c>
      <c r="CE34">
        <v>6.55</v>
      </c>
      <c r="CF34">
        <v>6.63</v>
      </c>
      <c r="CG34">
        <v>6.51</v>
      </c>
      <c r="CH34">
        <v>6.52</v>
      </c>
      <c r="CI34">
        <v>6.47</v>
      </c>
      <c r="CJ34" s="2" t="s">
        <v>4513</v>
      </c>
      <c r="CM34" s="3">
        <v>42881</v>
      </c>
      <c r="CN34">
        <v>1.1299999999999999</v>
      </c>
      <c r="CO34">
        <v>1.1599999999999999</v>
      </c>
      <c r="CP34">
        <v>1.1200000000000001</v>
      </c>
      <c r="CQ34">
        <v>1.1499999999999999</v>
      </c>
      <c r="CR34">
        <v>1.1499999999999999</v>
      </c>
      <c r="CS34" s="2" t="s">
        <v>4597</v>
      </c>
      <c r="CV34" s="3">
        <v>42884</v>
      </c>
      <c r="CW34">
        <v>11.98</v>
      </c>
      <c r="CX34">
        <v>11.98</v>
      </c>
      <c r="CY34">
        <v>11.88</v>
      </c>
      <c r="CZ34">
        <v>11.9</v>
      </c>
      <c r="DA34">
        <v>11.9</v>
      </c>
      <c r="DB34" s="2" t="s">
        <v>4680</v>
      </c>
    </row>
    <row r="35" spans="10:106" x14ac:dyDescent="0.4">
      <c r="J35" s="3">
        <v>42884</v>
      </c>
      <c r="K35">
        <v>0.76</v>
      </c>
      <c r="L35">
        <v>0.8</v>
      </c>
      <c r="M35">
        <v>0.74</v>
      </c>
      <c r="N35">
        <v>0.76</v>
      </c>
      <c r="O35">
        <v>0.76</v>
      </c>
      <c r="P35" s="2" t="s">
        <v>3873</v>
      </c>
      <c r="S35" s="3">
        <v>42886</v>
      </c>
      <c r="T35">
        <v>50.6</v>
      </c>
      <c r="U35">
        <v>50.6</v>
      </c>
      <c r="V35">
        <v>49.15</v>
      </c>
      <c r="W35">
        <v>49.45</v>
      </c>
      <c r="X35">
        <v>49.34</v>
      </c>
      <c r="Y35" s="2" t="s">
        <v>3951</v>
      </c>
      <c r="AB35" s="3">
        <v>42886</v>
      </c>
      <c r="AC35">
        <v>3.18</v>
      </c>
      <c r="AD35">
        <v>3.23</v>
      </c>
      <c r="AE35">
        <v>3.18</v>
      </c>
      <c r="AF35">
        <v>3.21</v>
      </c>
      <c r="AG35">
        <v>3.09</v>
      </c>
      <c r="AH35" s="2" t="s">
        <v>4034</v>
      </c>
      <c r="AK35" s="3">
        <v>42886</v>
      </c>
      <c r="AL35">
        <v>7.41</v>
      </c>
      <c r="AM35">
        <v>7.56</v>
      </c>
      <c r="AN35">
        <v>7.38</v>
      </c>
      <c r="AO35">
        <v>7.56</v>
      </c>
      <c r="AP35">
        <v>7.4</v>
      </c>
      <c r="AQ35" s="2" t="s">
        <v>4117</v>
      </c>
      <c r="AT35" s="3">
        <v>42886</v>
      </c>
      <c r="AU35">
        <v>1.51</v>
      </c>
      <c r="AV35">
        <v>1.52</v>
      </c>
      <c r="AW35">
        <v>1.49</v>
      </c>
      <c r="AX35">
        <v>1.5</v>
      </c>
      <c r="AY35">
        <v>1.43</v>
      </c>
      <c r="AZ35" s="2" t="s">
        <v>4200</v>
      </c>
      <c r="BC35" s="3">
        <v>42884</v>
      </c>
      <c r="BD35">
        <v>1.72</v>
      </c>
      <c r="BE35">
        <v>1.74</v>
      </c>
      <c r="BF35">
        <v>1.7</v>
      </c>
      <c r="BG35">
        <v>1.72</v>
      </c>
      <c r="BH35">
        <v>1.72</v>
      </c>
      <c r="BI35" s="2" t="s">
        <v>4276</v>
      </c>
      <c r="BL35" s="3">
        <v>42886</v>
      </c>
      <c r="BM35">
        <v>9.0399999999999991</v>
      </c>
      <c r="BN35">
        <v>9.1199999999999992</v>
      </c>
      <c r="BO35">
        <v>8.8699999999999992</v>
      </c>
      <c r="BP35">
        <v>9.1</v>
      </c>
      <c r="BQ35">
        <v>9.1</v>
      </c>
      <c r="BR35" s="2" t="s">
        <v>4359</v>
      </c>
      <c r="BU35" s="3">
        <v>42886</v>
      </c>
      <c r="BV35">
        <v>1.1599999999999999</v>
      </c>
      <c r="BW35">
        <v>1.19</v>
      </c>
      <c r="BX35">
        <v>1.1599999999999999</v>
      </c>
      <c r="BY35">
        <v>1.19</v>
      </c>
      <c r="BZ35">
        <v>1.17</v>
      </c>
      <c r="CA35" s="2" t="s">
        <v>4438</v>
      </c>
      <c r="CD35" s="3">
        <v>42886</v>
      </c>
      <c r="CE35">
        <v>6.52</v>
      </c>
      <c r="CF35">
        <v>6.58</v>
      </c>
      <c r="CG35">
        <v>6.33</v>
      </c>
      <c r="CH35">
        <v>6.37</v>
      </c>
      <c r="CI35">
        <v>6.33</v>
      </c>
      <c r="CJ35" s="2" t="s">
        <v>4512</v>
      </c>
      <c r="CM35" s="3">
        <v>42884</v>
      </c>
      <c r="CN35">
        <v>1.1499999999999999</v>
      </c>
      <c r="CO35">
        <v>1.1599999999999999</v>
      </c>
      <c r="CP35">
        <v>1.1399999999999999</v>
      </c>
      <c r="CQ35">
        <v>1.1399999999999999</v>
      </c>
      <c r="CR35">
        <v>1.1399999999999999</v>
      </c>
      <c r="CS35" s="2" t="s">
        <v>4596</v>
      </c>
      <c r="CV35" s="3">
        <v>42886</v>
      </c>
      <c r="CW35">
        <v>11.9</v>
      </c>
      <c r="CX35">
        <v>12.06</v>
      </c>
      <c r="CY35">
        <v>11.88</v>
      </c>
      <c r="CZ35">
        <v>11.94</v>
      </c>
      <c r="DA35">
        <v>11.94</v>
      </c>
      <c r="DB35" s="2" t="s">
        <v>4679</v>
      </c>
    </row>
    <row r="36" spans="10:106" x14ac:dyDescent="0.4">
      <c r="J36" s="3">
        <v>42886</v>
      </c>
      <c r="K36">
        <v>0.76</v>
      </c>
      <c r="L36">
        <v>0.76</v>
      </c>
      <c r="M36">
        <v>0.76</v>
      </c>
      <c r="N36">
        <v>0.76</v>
      </c>
      <c r="O36">
        <v>0.76</v>
      </c>
      <c r="P36" s="2" t="s">
        <v>3837</v>
      </c>
      <c r="S36" s="3">
        <v>42887</v>
      </c>
      <c r="T36">
        <v>49.2</v>
      </c>
      <c r="U36">
        <v>49.5</v>
      </c>
      <c r="V36">
        <v>48.55</v>
      </c>
      <c r="W36">
        <v>48.75</v>
      </c>
      <c r="X36">
        <v>48.64</v>
      </c>
      <c r="Y36" s="2" t="s">
        <v>3950</v>
      </c>
      <c r="AB36" s="3">
        <v>42887</v>
      </c>
      <c r="AC36">
        <v>3.22</v>
      </c>
      <c r="AD36">
        <v>3.25</v>
      </c>
      <c r="AE36">
        <v>3.21</v>
      </c>
      <c r="AF36">
        <v>3.22</v>
      </c>
      <c r="AG36">
        <v>3.1</v>
      </c>
      <c r="AH36" s="2" t="s">
        <v>4033</v>
      </c>
      <c r="AK36" s="3">
        <v>42887</v>
      </c>
      <c r="AL36">
        <v>7.59</v>
      </c>
      <c r="AM36">
        <v>7.73</v>
      </c>
      <c r="AN36">
        <v>7.53</v>
      </c>
      <c r="AO36">
        <v>7.58</v>
      </c>
      <c r="AP36">
        <v>7.42</v>
      </c>
      <c r="AQ36" s="2" t="s">
        <v>4116</v>
      </c>
      <c r="AT36" s="3">
        <v>42887</v>
      </c>
      <c r="AU36">
        <v>1.51</v>
      </c>
      <c r="AV36">
        <v>1.52</v>
      </c>
      <c r="AW36">
        <v>1.49</v>
      </c>
      <c r="AX36">
        <v>1.5</v>
      </c>
      <c r="AY36">
        <v>1.43</v>
      </c>
      <c r="AZ36" s="2" t="s">
        <v>4199</v>
      </c>
      <c r="BC36" s="3">
        <v>42886</v>
      </c>
      <c r="BD36">
        <v>1.72</v>
      </c>
      <c r="BE36">
        <v>1.75</v>
      </c>
      <c r="BF36">
        <v>1.72</v>
      </c>
      <c r="BG36">
        <v>1.75</v>
      </c>
      <c r="BH36">
        <v>1.75</v>
      </c>
      <c r="BI36" s="2" t="s">
        <v>4275</v>
      </c>
      <c r="BL36" s="3">
        <v>42887</v>
      </c>
      <c r="BM36">
        <v>9.14</v>
      </c>
      <c r="BN36">
        <v>9.14</v>
      </c>
      <c r="BO36">
        <v>8.8699999999999992</v>
      </c>
      <c r="BP36">
        <v>9.01</v>
      </c>
      <c r="BQ36">
        <v>9.01</v>
      </c>
      <c r="BR36" s="2" t="s">
        <v>4358</v>
      </c>
      <c r="BU36" s="3">
        <v>42887</v>
      </c>
      <c r="BV36">
        <v>1.18</v>
      </c>
      <c r="BW36">
        <v>1.19</v>
      </c>
      <c r="BX36">
        <v>1.1599999999999999</v>
      </c>
      <c r="BY36">
        <v>1.17</v>
      </c>
      <c r="BZ36">
        <v>1.1599999999999999</v>
      </c>
      <c r="CA36" s="2" t="s">
        <v>4437</v>
      </c>
      <c r="CD36" s="3">
        <v>42887</v>
      </c>
      <c r="CE36">
        <v>6.41</v>
      </c>
      <c r="CF36">
        <v>6.49</v>
      </c>
      <c r="CG36">
        <v>6.38</v>
      </c>
      <c r="CH36">
        <v>6.42</v>
      </c>
      <c r="CI36">
        <v>6.37</v>
      </c>
      <c r="CJ36" s="2" t="s">
        <v>4511</v>
      </c>
      <c r="CM36" s="3">
        <v>42886</v>
      </c>
      <c r="CN36">
        <v>1.1399999999999999</v>
      </c>
      <c r="CO36">
        <v>1.1599999999999999</v>
      </c>
      <c r="CP36">
        <v>1.1299999999999999</v>
      </c>
      <c r="CQ36">
        <v>1.1399999999999999</v>
      </c>
      <c r="CR36">
        <v>1.1399999999999999</v>
      </c>
      <c r="CS36" s="2" t="s">
        <v>4595</v>
      </c>
      <c r="CV36" s="3">
        <v>42887</v>
      </c>
      <c r="CW36">
        <v>11.94</v>
      </c>
      <c r="CX36">
        <v>12.06</v>
      </c>
      <c r="CY36">
        <v>11.94</v>
      </c>
      <c r="CZ36">
        <v>12.02</v>
      </c>
      <c r="DA36">
        <v>12.02</v>
      </c>
      <c r="DB36" s="2" t="s">
        <v>4678</v>
      </c>
    </row>
    <row r="37" spans="10:106" x14ac:dyDescent="0.4">
      <c r="J37" s="3">
        <v>42887</v>
      </c>
      <c r="K37">
        <v>0.75</v>
      </c>
      <c r="L37">
        <v>0.75</v>
      </c>
      <c r="M37">
        <v>0.75</v>
      </c>
      <c r="N37">
        <v>0.75</v>
      </c>
      <c r="O37">
        <v>0.75</v>
      </c>
      <c r="P37" s="2" t="s">
        <v>3837</v>
      </c>
      <c r="S37" s="3">
        <v>42888</v>
      </c>
      <c r="T37">
        <v>48.75</v>
      </c>
      <c r="U37">
        <v>48.9</v>
      </c>
      <c r="V37">
        <v>46.35</v>
      </c>
      <c r="W37">
        <v>48</v>
      </c>
      <c r="X37">
        <v>47.89</v>
      </c>
      <c r="Y37" s="2" t="s">
        <v>3949</v>
      </c>
      <c r="AB37" s="3">
        <v>42888</v>
      </c>
      <c r="AC37">
        <v>3.22</v>
      </c>
      <c r="AD37">
        <v>3.23</v>
      </c>
      <c r="AE37">
        <v>3.21</v>
      </c>
      <c r="AF37">
        <v>3.23</v>
      </c>
      <c r="AG37">
        <v>3.11</v>
      </c>
      <c r="AH37" s="2" t="s">
        <v>4032</v>
      </c>
      <c r="AK37" s="3">
        <v>42888</v>
      </c>
      <c r="AL37">
        <v>7.61</v>
      </c>
      <c r="AM37">
        <v>7.7</v>
      </c>
      <c r="AN37">
        <v>7.46</v>
      </c>
      <c r="AO37">
        <v>7.6</v>
      </c>
      <c r="AP37">
        <v>7.44</v>
      </c>
      <c r="AQ37" s="2" t="s">
        <v>4115</v>
      </c>
      <c r="AT37" s="3">
        <v>42888</v>
      </c>
      <c r="AU37">
        <v>1.49</v>
      </c>
      <c r="AV37">
        <v>1.51</v>
      </c>
      <c r="AW37">
        <v>1.49</v>
      </c>
      <c r="AX37">
        <v>1.5</v>
      </c>
      <c r="AY37">
        <v>1.43</v>
      </c>
      <c r="AZ37" s="2" t="s">
        <v>4198</v>
      </c>
      <c r="BC37" s="3">
        <v>42887</v>
      </c>
      <c r="BD37">
        <v>1.76</v>
      </c>
      <c r="BE37">
        <v>1.76</v>
      </c>
      <c r="BF37">
        <v>1.72</v>
      </c>
      <c r="BG37">
        <v>1.72</v>
      </c>
      <c r="BH37">
        <v>1.72</v>
      </c>
      <c r="BI37" s="2" t="s">
        <v>4274</v>
      </c>
      <c r="BL37" s="3">
        <v>42888</v>
      </c>
      <c r="BM37">
        <v>9.07</v>
      </c>
      <c r="BN37">
        <v>9.07</v>
      </c>
      <c r="BO37">
        <v>8.91</v>
      </c>
      <c r="BP37">
        <v>8.93</v>
      </c>
      <c r="BQ37">
        <v>8.93</v>
      </c>
      <c r="BR37" s="2" t="s">
        <v>4357</v>
      </c>
      <c r="BU37" s="3">
        <v>42888</v>
      </c>
      <c r="BV37">
        <v>1.17</v>
      </c>
      <c r="BW37">
        <v>1.18</v>
      </c>
      <c r="BX37">
        <v>1.1499999999999999</v>
      </c>
      <c r="BY37">
        <v>1.1599999999999999</v>
      </c>
      <c r="BZ37">
        <v>1.1499999999999999</v>
      </c>
      <c r="CA37" s="2" t="s">
        <v>4436</v>
      </c>
      <c r="CD37" s="3">
        <v>42888</v>
      </c>
      <c r="CE37">
        <v>6.41</v>
      </c>
      <c r="CF37">
        <v>6.45</v>
      </c>
      <c r="CG37">
        <v>6.36</v>
      </c>
      <c r="CH37">
        <v>6.42</v>
      </c>
      <c r="CI37">
        <v>6.37</v>
      </c>
      <c r="CJ37" s="2" t="s">
        <v>4510</v>
      </c>
      <c r="CM37" s="3">
        <v>42887</v>
      </c>
      <c r="CN37">
        <v>1.1399999999999999</v>
      </c>
      <c r="CO37">
        <v>1.1499999999999999</v>
      </c>
      <c r="CP37">
        <v>1.1299999999999999</v>
      </c>
      <c r="CQ37">
        <v>1.1399999999999999</v>
      </c>
      <c r="CR37">
        <v>1.1399999999999999</v>
      </c>
      <c r="CS37" s="2" t="s">
        <v>4594</v>
      </c>
      <c r="CV37" s="3">
        <v>42888</v>
      </c>
      <c r="CW37">
        <v>12.04</v>
      </c>
      <c r="CX37">
        <v>12.1</v>
      </c>
      <c r="CY37">
        <v>11.94</v>
      </c>
      <c r="CZ37">
        <v>11.96</v>
      </c>
      <c r="DA37">
        <v>11.96</v>
      </c>
      <c r="DB37" s="2" t="s">
        <v>4677</v>
      </c>
    </row>
    <row r="38" spans="10:106" x14ac:dyDescent="0.4">
      <c r="J38" s="3">
        <v>42888</v>
      </c>
      <c r="K38">
        <v>0.73</v>
      </c>
      <c r="L38">
        <v>0.75</v>
      </c>
      <c r="M38">
        <v>0.73</v>
      </c>
      <c r="N38">
        <v>0.75</v>
      </c>
      <c r="O38">
        <v>0.75</v>
      </c>
      <c r="P38" s="2" t="s">
        <v>3872</v>
      </c>
      <c r="S38" s="3">
        <v>42891</v>
      </c>
      <c r="T38">
        <v>47.9</v>
      </c>
      <c r="U38">
        <v>48.2</v>
      </c>
      <c r="V38">
        <v>47.15</v>
      </c>
      <c r="W38">
        <v>47.3</v>
      </c>
      <c r="X38">
        <v>47.19</v>
      </c>
      <c r="Y38" s="2" t="s">
        <v>3948</v>
      </c>
      <c r="AB38" s="3">
        <v>42891</v>
      </c>
      <c r="AC38">
        <v>3.09</v>
      </c>
      <c r="AD38">
        <v>3.11</v>
      </c>
      <c r="AE38">
        <v>3.06</v>
      </c>
      <c r="AF38">
        <v>3.09</v>
      </c>
      <c r="AG38">
        <v>3.09</v>
      </c>
      <c r="AH38" s="2" t="s">
        <v>4031</v>
      </c>
      <c r="AK38" s="3">
        <v>42891</v>
      </c>
      <c r="AL38">
        <v>7.53</v>
      </c>
      <c r="AM38">
        <v>7.59</v>
      </c>
      <c r="AN38">
        <v>7.43</v>
      </c>
      <c r="AO38">
        <v>7.43</v>
      </c>
      <c r="AP38">
        <v>7.27</v>
      </c>
      <c r="AQ38" s="2" t="s">
        <v>4114</v>
      </c>
      <c r="AT38" s="3">
        <v>42891</v>
      </c>
      <c r="AU38">
        <v>1.49</v>
      </c>
      <c r="AV38">
        <v>1.53</v>
      </c>
      <c r="AW38">
        <v>1.49</v>
      </c>
      <c r="AX38">
        <v>1.51</v>
      </c>
      <c r="AY38">
        <v>1.44</v>
      </c>
      <c r="AZ38" s="2" t="s">
        <v>4197</v>
      </c>
      <c r="BC38" s="3">
        <v>42888</v>
      </c>
      <c r="BD38">
        <v>1.72</v>
      </c>
      <c r="BE38">
        <v>1.73</v>
      </c>
      <c r="BF38">
        <v>1.72</v>
      </c>
      <c r="BG38">
        <v>1.72</v>
      </c>
      <c r="BH38">
        <v>1.72</v>
      </c>
      <c r="BI38" s="2" t="s">
        <v>3892</v>
      </c>
      <c r="BL38" s="3">
        <v>42891</v>
      </c>
      <c r="BM38">
        <v>8.85</v>
      </c>
      <c r="BN38">
        <v>9.0399999999999991</v>
      </c>
      <c r="BO38">
        <v>8.85</v>
      </c>
      <c r="BP38">
        <v>8.9499999999999993</v>
      </c>
      <c r="BQ38">
        <v>8.9499999999999993</v>
      </c>
      <c r="BR38" s="2" t="s">
        <v>4356</v>
      </c>
      <c r="BU38" s="3">
        <v>42891</v>
      </c>
      <c r="BV38">
        <v>1.1599999999999999</v>
      </c>
      <c r="BW38">
        <v>1.17</v>
      </c>
      <c r="BX38">
        <v>1.1499999999999999</v>
      </c>
      <c r="BY38">
        <v>1.17</v>
      </c>
      <c r="BZ38">
        <v>1.1599999999999999</v>
      </c>
      <c r="CA38" s="2" t="s">
        <v>4435</v>
      </c>
      <c r="CD38" s="3">
        <v>42891</v>
      </c>
      <c r="CE38">
        <v>6.5</v>
      </c>
      <c r="CF38">
        <v>6.52</v>
      </c>
      <c r="CG38">
        <v>6.45</v>
      </c>
      <c r="CH38">
        <v>6.46</v>
      </c>
      <c r="CI38">
        <v>6.41</v>
      </c>
      <c r="CJ38" s="2" t="s">
        <v>4509</v>
      </c>
      <c r="CM38" s="3">
        <v>42888</v>
      </c>
      <c r="CN38">
        <v>1.1499999999999999</v>
      </c>
      <c r="CO38">
        <v>1.1599999999999999</v>
      </c>
      <c r="CP38">
        <v>1.1399999999999999</v>
      </c>
      <c r="CQ38">
        <v>1.1399999999999999</v>
      </c>
      <c r="CR38">
        <v>1.1399999999999999</v>
      </c>
      <c r="CS38" s="2" t="s">
        <v>4593</v>
      </c>
      <c r="CV38" s="3">
        <v>42891</v>
      </c>
      <c r="CW38">
        <v>12</v>
      </c>
      <c r="CX38">
        <v>12.02</v>
      </c>
      <c r="CY38">
        <v>11.82</v>
      </c>
      <c r="CZ38">
        <v>11.84</v>
      </c>
      <c r="DA38">
        <v>11.84</v>
      </c>
      <c r="DB38" s="2" t="s">
        <v>4676</v>
      </c>
    </row>
    <row r="39" spans="10:106" x14ac:dyDescent="0.4">
      <c r="J39" s="3">
        <v>42891</v>
      </c>
      <c r="K39">
        <v>0.78</v>
      </c>
      <c r="L39">
        <v>0.8</v>
      </c>
      <c r="M39">
        <v>0.74</v>
      </c>
      <c r="N39">
        <v>0.75</v>
      </c>
      <c r="O39">
        <v>0.75</v>
      </c>
      <c r="P39" s="2" t="s">
        <v>3871</v>
      </c>
      <c r="S39" s="3">
        <v>42892</v>
      </c>
      <c r="T39">
        <v>47.1</v>
      </c>
      <c r="U39">
        <v>48.6</v>
      </c>
      <c r="V39">
        <v>47.1</v>
      </c>
      <c r="W39">
        <v>48.1</v>
      </c>
      <c r="X39">
        <v>47.99</v>
      </c>
      <c r="Y39" s="2" t="s">
        <v>3947</v>
      </c>
      <c r="AB39" s="3">
        <v>42892</v>
      </c>
      <c r="AC39">
        <v>3.09</v>
      </c>
      <c r="AD39">
        <v>3.1</v>
      </c>
      <c r="AE39">
        <v>3.05</v>
      </c>
      <c r="AF39">
        <v>3.06</v>
      </c>
      <c r="AG39">
        <v>3.06</v>
      </c>
      <c r="AH39" s="2" t="s">
        <v>4030</v>
      </c>
      <c r="AK39" s="3">
        <v>42892</v>
      </c>
      <c r="AL39">
        <v>7.44</v>
      </c>
      <c r="AM39">
        <v>7.63</v>
      </c>
      <c r="AN39">
        <v>7.43</v>
      </c>
      <c r="AO39">
        <v>7.57</v>
      </c>
      <c r="AP39">
        <v>7.41</v>
      </c>
      <c r="AQ39" s="2" t="s">
        <v>4113</v>
      </c>
      <c r="AT39" s="3">
        <v>42892</v>
      </c>
      <c r="AU39">
        <v>1.52</v>
      </c>
      <c r="AV39">
        <v>1.53</v>
      </c>
      <c r="AW39">
        <v>1.51</v>
      </c>
      <c r="AX39">
        <v>1.52</v>
      </c>
      <c r="AY39">
        <v>1.45</v>
      </c>
      <c r="AZ39" s="2" t="s">
        <v>4196</v>
      </c>
      <c r="BC39" s="3">
        <v>42891</v>
      </c>
      <c r="BD39">
        <v>1.73</v>
      </c>
      <c r="BE39">
        <v>1.73</v>
      </c>
      <c r="BF39">
        <v>1.72</v>
      </c>
      <c r="BG39">
        <v>1.73</v>
      </c>
      <c r="BH39">
        <v>1.73</v>
      </c>
      <c r="BI39" s="2" t="s">
        <v>4273</v>
      </c>
      <c r="BL39" s="3">
        <v>42892</v>
      </c>
      <c r="BM39">
        <v>8.9499999999999993</v>
      </c>
      <c r="BN39">
        <v>9.0299999999999994</v>
      </c>
      <c r="BO39">
        <v>8.85</v>
      </c>
      <c r="BP39">
        <v>8.89</v>
      </c>
      <c r="BQ39">
        <v>8.89</v>
      </c>
      <c r="BR39" s="2" t="s">
        <v>4355</v>
      </c>
      <c r="BU39" s="3">
        <v>42892</v>
      </c>
      <c r="BV39">
        <v>1.17</v>
      </c>
      <c r="BW39">
        <v>1.17</v>
      </c>
      <c r="BX39">
        <v>1.1499999999999999</v>
      </c>
      <c r="BY39">
        <v>1.1599999999999999</v>
      </c>
      <c r="BZ39">
        <v>1.1499999999999999</v>
      </c>
      <c r="CA39" s="2" t="s">
        <v>4434</v>
      </c>
      <c r="CD39" s="3">
        <v>42892</v>
      </c>
      <c r="CE39">
        <v>6.49</v>
      </c>
      <c r="CF39">
        <v>6.72</v>
      </c>
      <c r="CG39">
        <v>6.48</v>
      </c>
      <c r="CH39">
        <v>6.71</v>
      </c>
      <c r="CI39">
        <v>6.66</v>
      </c>
      <c r="CJ39" s="2" t="s">
        <v>4508</v>
      </c>
      <c r="CM39" s="3">
        <v>42891</v>
      </c>
      <c r="CN39">
        <v>1.1399999999999999</v>
      </c>
      <c r="CO39">
        <v>1.1499999999999999</v>
      </c>
      <c r="CP39">
        <v>1.1200000000000001</v>
      </c>
      <c r="CQ39">
        <v>1.1299999999999999</v>
      </c>
      <c r="CR39">
        <v>1.1299999999999999</v>
      </c>
      <c r="CS39" s="2" t="s">
        <v>4592</v>
      </c>
      <c r="CV39" s="3">
        <v>42892</v>
      </c>
      <c r="CW39">
        <v>11.88</v>
      </c>
      <c r="CX39">
        <v>11.96</v>
      </c>
      <c r="CY39">
        <v>11.84</v>
      </c>
      <c r="CZ39">
        <v>11.94</v>
      </c>
      <c r="DA39">
        <v>11.94</v>
      </c>
      <c r="DB39" s="2" t="s">
        <v>4675</v>
      </c>
    </row>
    <row r="40" spans="10:106" x14ac:dyDescent="0.4">
      <c r="J40" s="3">
        <v>42892</v>
      </c>
      <c r="K40">
        <v>0.74</v>
      </c>
      <c r="L40">
        <v>0.75</v>
      </c>
      <c r="M40">
        <v>0.73</v>
      </c>
      <c r="N40">
        <v>0.75</v>
      </c>
      <c r="O40">
        <v>0.75</v>
      </c>
      <c r="P40" s="2" t="s">
        <v>3870</v>
      </c>
      <c r="S40" s="3">
        <v>42893</v>
      </c>
      <c r="T40">
        <v>48.25</v>
      </c>
      <c r="U40">
        <v>48.7</v>
      </c>
      <c r="V40">
        <v>47.7</v>
      </c>
      <c r="W40">
        <v>48.65</v>
      </c>
      <c r="X40">
        <v>48.54</v>
      </c>
      <c r="Y40" s="2" t="s">
        <v>3946</v>
      </c>
      <c r="AB40" s="3">
        <v>42893</v>
      </c>
      <c r="AC40">
        <v>3.05</v>
      </c>
      <c r="AD40">
        <v>3.08</v>
      </c>
      <c r="AE40">
        <v>3.02</v>
      </c>
      <c r="AF40">
        <v>3.05</v>
      </c>
      <c r="AG40">
        <v>3.05</v>
      </c>
      <c r="AH40" s="2" t="s">
        <v>4029</v>
      </c>
      <c r="AK40" s="3">
        <v>42893</v>
      </c>
      <c r="AL40">
        <v>7.57</v>
      </c>
      <c r="AM40">
        <v>7.67</v>
      </c>
      <c r="AN40">
        <v>7.53</v>
      </c>
      <c r="AO40">
        <v>7.65</v>
      </c>
      <c r="AP40">
        <v>7.49</v>
      </c>
      <c r="AQ40" s="2" t="s">
        <v>4112</v>
      </c>
      <c r="AT40" s="3">
        <v>42893</v>
      </c>
      <c r="AU40">
        <v>1.52</v>
      </c>
      <c r="AV40">
        <v>1.53</v>
      </c>
      <c r="AW40">
        <v>1.48</v>
      </c>
      <c r="AX40">
        <v>1.51</v>
      </c>
      <c r="AY40">
        <v>1.44</v>
      </c>
      <c r="AZ40" s="2" t="s">
        <v>4195</v>
      </c>
      <c r="BC40" s="3">
        <v>42892</v>
      </c>
      <c r="BD40">
        <v>1.73</v>
      </c>
      <c r="BE40">
        <v>1.74</v>
      </c>
      <c r="BF40">
        <v>1.73</v>
      </c>
      <c r="BG40">
        <v>1.73</v>
      </c>
      <c r="BH40">
        <v>1.73</v>
      </c>
      <c r="BI40" s="2" t="s">
        <v>4272</v>
      </c>
      <c r="BL40" s="3">
        <v>42893</v>
      </c>
      <c r="BM40">
        <v>8.92</v>
      </c>
      <c r="BN40">
        <v>9</v>
      </c>
      <c r="BO40">
        <v>8.76</v>
      </c>
      <c r="BP40">
        <v>8.9</v>
      </c>
      <c r="BQ40">
        <v>8.9</v>
      </c>
      <c r="BR40" s="2" t="s">
        <v>4354</v>
      </c>
      <c r="BU40" s="3">
        <v>42893</v>
      </c>
      <c r="BV40">
        <v>1.17</v>
      </c>
      <c r="BW40">
        <v>1.18</v>
      </c>
      <c r="BX40">
        <v>1.1599999999999999</v>
      </c>
      <c r="BY40">
        <v>1.1599999999999999</v>
      </c>
      <c r="BZ40">
        <v>1.1499999999999999</v>
      </c>
      <c r="CA40" s="2" t="s">
        <v>4433</v>
      </c>
      <c r="CD40" s="3">
        <v>42893</v>
      </c>
      <c r="CE40">
        <v>6.68</v>
      </c>
      <c r="CF40">
        <v>6.86</v>
      </c>
      <c r="CG40">
        <v>6.64</v>
      </c>
      <c r="CH40">
        <v>6.82</v>
      </c>
      <c r="CI40">
        <v>6.77</v>
      </c>
      <c r="CJ40" s="2" t="s">
        <v>4507</v>
      </c>
      <c r="CM40" s="3">
        <v>42892</v>
      </c>
      <c r="CN40">
        <v>1.1299999999999999</v>
      </c>
      <c r="CO40">
        <v>1.1499999999999999</v>
      </c>
      <c r="CP40">
        <v>1.1299999999999999</v>
      </c>
      <c r="CQ40">
        <v>1.1299999999999999</v>
      </c>
      <c r="CR40">
        <v>1.1299999999999999</v>
      </c>
      <c r="CS40" s="2" t="s">
        <v>4591</v>
      </c>
      <c r="CV40" s="3">
        <v>42893</v>
      </c>
      <c r="CW40">
        <v>11.94</v>
      </c>
      <c r="CX40">
        <v>12.1</v>
      </c>
      <c r="CY40">
        <v>11.94</v>
      </c>
      <c r="CZ40">
        <v>12.04</v>
      </c>
      <c r="DA40">
        <v>12.04</v>
      </c>
      <c r="DB40" s="2" t="s">
        <v>4674</v>
      </c>
    </row>
    <row r="41" spans="10:106" x14ac:dyDescent="0.4">
      <c r="J41" s="3">
        <v>42893</v>
      </c>
      <c r="K41">
        <v>0.73</v>
      </c>
      <c r="L41">
        <v>0.78</v>
      </c>
      <c r="M41">
        <v>0.73</v>
      </c>
      <c r="N41">
        <v>0.74</v>
      </c>
      <c r="O41">
        <v>0.74</v>
      </c>
      <c r="P41" s="2" t="s">
        <v>3869</v>
      </c>
      <c r="S41" s="3">
        <v>42894</v>
      </c>
      <c r="T41">
        <v>48.5</v>
      </c>
      <c r="U41">
        <v>49.2</v>
      </c>
      <c r="V41">
        <v>47.65</v>
      </c>
      <c r="W41">
        <v>48.6</v>
      </c>
      <c r="X41">
        <v>48.49</v>
      </c>
      <c r="Y41" s="2" t="s">
        <v>3945</v>
      </c>
      <c r="AB41" s="3">
        <v>42894</v>
      </c>
      <c r="AC41">
        <v>3.05</v>
      </c>
      <c r="AD41">
        <v>3.06</v>
      </c>
      <c r="AE41">
        <v>3.02</v>
      </c>
      <c r="AF41">
        <v>3.04</v>
      </c>
      <c r="AG41">
        <v>3.04</v>
      </c>
      <c r="AH41" s="2" t="s">
        <v>4028</v>
      </c>
      <c r="AK41" s="3">
        <v>42894</v>
      </c>
      <c r="AL41">
        <v>7.66</v>
      </c>
      <c r="AM41">
        <v>8.0399999999999991</v>
      </c>
      <c r="AN41">
        <v>7.66</v>
      </c>
      <c r="AO41">
        <v>8.02</v>
      </c>
      <c r="AP41">
        <v>7.85</v>
      </c>
      <c r="AQ41" s="2" t="s">
        <v>4111</v>
      </c>
      <c r="AT41" s="3">
        <v>42894</v>
      </c>
      <c r="AU41">
        <v>1.51</v>
      </c>
      <c r="AV41">
        <v>1.56</v>
      </c>
      <c r="AW41">
        <v>1.5</v>
      </c>
      <c r="AX41">
        <v>1.55</v>
      </c>
      <c r="AY41">
        <v>1.48</v>
      </c>
      <c r="AZ41" s="2" t="s">
        <v>4194</v>
      </c>
      <c r="BC41" s="3">
        <v>42893</v>
      </c>
      <c r="BD41">
        <v>1.73</v>
      </c>
      <c r="BE41">
        <v>1.74</v>
      </c>
      <c r="BF41">
        <v>1.73</v>
      </c>
      <c r="BG41">
        <v>1.73</v>
      </c>
      <c r="BH41">
        <v>1.73</v>
      </c>
      <c r="BI41" s="2" t="s">
        <v>4271</v>
      </c>
      <c r="BL41" s="3">
        <v>42894</v>
      </c>
      <c r="BM41">
        <v>8.86</v>
      </c>
      <c r="BN41">
        <v>9.15</v>
      </c>
      <c r="BO41">
        <v>8.84</v>
      </c>
      <c r="BP41">
        <v>9.15</v>
      </c>
      <c r="BQ41">
        <v>9.15</v>
      </c>
      <c r="BR41" s="2" t="s">
        <v>4353</v>
      </c>
      <c r="BU41" s="3">
        <v>42894</v>
      </c>
      <c r="BV41">
        <v>1.18</v>
      </c>
      <c r="BW41">
        <v>1.21</v>
      </c>
      <c r="BX41">
        <v>1.1599999999999999</v>
      </c>
      <c r="BY41">
        <v>1.1599999999999999</v>
      </c>
      <c r="BZ41">
        <v>1.1499999999999999</v>
      </c>
      <c r="CA41" s="2" t="s">
        <v>4432</v>
      </c>
      <c r="CD41" s="3">
        <v>42894</v>
      </c>
      <c r="CE41">
        <v>6.74</v>
      </c>
      <c r="CF41">
        <v>6.78</v>
      </c>
      <c r="CG41">
        <v>6.66</v>
      </c>
      <c r="CH41">
        <v>6.76</v>
      </c>
      <c r="CI41">
        <v>6.71</v>
      </c>
      <c r="CJ41" s="2" t="s">
        <v>4506</v>
      </c>
      <c r="CM41" s="3">
        <v>42893</v>
      </c>
      <c r="CN41">
        <v>1.1299999999999999</v>
      </c>
      <c r="CO41">
        <v>1.18</v>
      </c>
      <c r="CP41">
        <v>1.1299999999999999</v>
      </c>
      <c r="CQ41">
        <v>1.18</v>
      </c>
      <c r="CR41">
        <v>1.18</v>
      </c>
      <c r="CS41" s="2" t="s">
        <v>4590</v>
      </c>
      <c r="CV41" s="3">
        <v>42894</v>
      </c>
      <c r="CW41">
        <v>12.04</v>
      </c>
      <c r="CX41">
        <v>12.18</v>
      </c>
      <c r="CY41">
        <v>12.02</v>
      </c>
      <c r="CZ41">
        <v>12.16</v>
      </c>
      <c r="DA41">
        <v>12.16</v>
      </c>
      <c r="DB41" s="2" t="s">
        <v>4673</v>
      </c>
    </row>
    <row r="42" spans="10:106" x14ac:dyDescent="0.4">
      <c r="J42" s="3">
        <v>42894</v>
      </c>
      <c r="K42">
        <v>0.73</v>
      </c>
      <c r="L42">
        <v>0.74</v>
      </c>
      <c r="M42">
        <v>0.73</v>
      </c>
      <c r="N42">
        <v>0.74</v>
      </c>
      <c r="O42">
        <v>0.74</v>
      </c>
      <c r="P42" s="2" t="s">
        <v>3868</v>
      </c>
      <c r="S42" s="3">
        <v>42895</v>
      </c>
      <c r="T42">
        <v>48.6</v>
      </c>
      <c r="U42">
        <v>48.75</v>
      </c>
      <c r="V42">
        <v>47.7</v>
      </c>
      <c r="W42">
        <v>48.45</v>
      </c>
      <c r="X42">
        <v>48.34</v>
      </c>
      <c r="Y42" s="2" t="s">
        <v>3944</v>
      </c>
      <c r="AB42" s="3">
        <v>42895</v>
      </c>
      <c r="AC42">
        <v>3.04</v>
      </c>
      <c r="AD42">
        <v>3.04</v>
      </c>
      <c r="AE42">
        <v>2.98</v>
      </c>
      <c r="AF42">
        <v>2.99</v>
      </c>
      <c r="AG42">
        <v>2.99</v>
      </c>
      <c r="AH42" s="2" t="s">
        <v>4027</v>
      </c>
      <c r="AK42" s="3">
        <v>42895</v>
      </c>
      <c r="AL42">
        <v>8.17</v>
      </c>
      <c r="AM42">
        <v>8.17</v>
      </c>
      <c r="AN42">
        <v>7.86</v>
      </c>
      <c r="AO42">
        <v>7.98</v>
      </c>
      <c r="AP42">
        <v>7.81</v>
      </c>
      <c r="AQ42" s="2" t="s">
        <v>4110</v>
      </c>
      <c r="AT42" s="3">
        <v>42895</v>
      </c>
      <c r="AU42">
        <v>1.55</v>
      </c>
      <c r="AV42">
        <v>1.55</v>
      </c>
      <c r="AW42">
        <v>1.51</v>
      </c>
      <c r="AX42">
        <v>1.53</v>
      </c>
      <c r="AY42">
        <v>1.46</v>
      </c>
      <c r="AZ42" s="2" t="s">
        <v>4193</v>
      </c>
      <c r="BC42" s="3">
        <v>42894</v>
      </c>
      <c r="BD42">
        <v>1.73</v>
      </c>
      <c r="BE42">
        <v>1.75</v>
      </c>
      <c r="BF42">
        <v>1.72</v>
      </c>
      <c r="BG42">
        <v>1.73</v>
      </c>
      <c r="BH42">
        <v>1.73</v>
      </c>
      <c r="BI42" s="2" t="s">
        <v>4270</v>
      </c>
      <c r="BL42" s="3">
        <v>42895</v>
      </c>
      <c r="BM42">
        <v>9.17</v>
      </c>
      <c r="BN42">
        <v>9.17</v>
      </c>
      <c r="BO42">
        <v>8.8800000000000008</v>
      </c>
      <c r="BP42">
        <v>8.9600000000000009</v>
      </c>
      <c r="BQ42">
        <v>8.9600000000000009</v>
      </c>
      <c r="BR42" s="2" t="s">
        <v>4352</v>
      </c>
      <c r="BU42" s="3">
        <v>42895</v>
      </c>
      <c r="BV42">
        <v>1.1599999999999999</v>
      </c>
      <c r="BW42">
        <v>1.17</v>
      </c>
      <c r="BX42">
        <v>1.1599999999999999</v>
      </c>
      <c r="BY42">
        <v>1.1599999999999999</v>
      </c>
      <c r="BZ42">
        <v>1.1499999999999999</v>
      </c>
      <c r="CA42" s="2" t="s">
        <v>4431</v>
      </c>
      <c r="CD42" s="3">
        <v>42895</v>
      </c>
      <c r="CE42">
        <v>6.7</v>
      </c>
      <c r="CF42">
        <v>6.7</v>
      </c>
      <c r="CG42">
        <v>6.54</v>
      </c>
      <c r="CH42">
        <v>6.59</v>
      </c>
      <c r="CI42">
        <v>6.54</v>
      </c>
      <c r="CJ42" s="2" t="s">
        <v>4505</v>
      </c>
      <c r="CM42" s="3">
        <v>42894</v>
      </c>
      <c r="CN42">
        <v>1.18</v>
      </c>
      <c r="CO42">
        <v>1.22</v>
      </c>
      <c r="CP42">
        <v>1.17</v>
      </c>
      <c r="CQ42">
        <v>1.21</v>
      </c>
      <c r="CR42">
        <v>1.21</v>
      </c>
      <c r="CS42" s="2" t="s">
        <v>4589</v>
      </c>
      <c r="CV42" s="3">
        <v>42895</v>
      </c>
      <c r="CW42">
        <v>12.16</v>
      </c>
      <c r="CX42">
        <v>12.32</v>
      </c>
      <c r="CY42">
        <v>12.14</v>
      </c>
      <c r="CZ42">
        <v>12.24</v>
      </c>
      <c r="DA42">
        <v>12.24</v>
      </c>
      <c r="DB42" s="2" t="s">
        <v>4672</v>
      </c>
    </row>
    <row r="43" spans="10:106" x14ac:dyDescent="0.4">
      <c r="J43" s="3">
        <v>42895</v>
      </c>
      <c r="K43">
        <v>0.74</v>
      </c>
      <c r="L43">
        <v>0.76</v>
      </c>
      <c r="M43">
        <v>0.73</v>
      </c>
      <c r="N43">
        <v>0.74</v>
      </c>
      <c r="O43">
        <v>0.74</v>
      </c>
      <c r="P43" s="2" t="s">
        <v>3867</v>
      </c>
      <c r="S43" s="3">
        <v>42898</v>
      </c>
      <c r="T43">
        <v>48.45</v>
      </c>
      <c r="U43">
        <v>49.25</v>
      </c>
      <c r="V43">
        <v>47.95</v>
      </c>
      <c r="W43">
        <v>48</v>
      </c>
      <c r="X43">
        <v>47.89</v>
      </c>
      <c r="Y43" s="2" t="s">
        <v>3943</v>
      </c>
      <c r="AB43" s="3">
        <v>42898</v>
      </c>
      <c r="AC43">
        <v>2.98</v>
      </c>
      <c r="AD43">
        <v>2.99</v>
      </c>
      <c r="AE43">
        <v>2.92</v>
      </c>
      <c r="AF43">
        <v>2.96</v>
      </c>
      <c r="AG43">
        <v>2.96</v>
      </c>
      <c r="AH43" s="2" t="s">
        <v>4026</v>
      </c>
      <c r="AK43" s="3">
        <v>42898</v>
      </c>
      <c r="AL43">
        <v>7.98</v>
      </c>
      <c r="AM43">
        <v>8.15</v>
      </c>
      <c r="AN43">
        <v>7.86</v>
      </c>
      <c r="AO43">
        <v>7.99</v>
      </c>
      <c r="AP43">
        <v>7.82</v>
      </c>
      <c r="AQ43" s="2" t="s">
        <v>4109</v>
      </c>
      <c r="AT43" s="3">
        <v>42898</v>
      </c>
      <c r="AU43">
        <v>1.53</v>
      </c>
      <c r="AV43">
        <v>1.54</v>
      </c>
      <c r="AW43">
        <v>1.51</v>
      </c>
      <c r="AX43">
        <v>1.52</v>
      </c>
      <c r="AY43">
        <v>1.45</v>
      </c>
      <c r="AZ43" s="2" t="s">
        <v>4192</v>
      </c>
      <c r="BC43" s="3">
        <v>42895</v>
      </c>
      <c r="BD43">
        <v>1.73</v>
      </c>
      <c r="BE43">
        <v>1.75</v>
      </c>
      <c r="BF43">
        <v>1.72</v>
      </c>
      <c r="BG43">
        <v>1.73</v>
      </c>
      <c r="BH43">
        <v>1.73</v>
      </c>
      <c r="BI43" s="2" t="s">
        <v>4269</v>
      </c>
      <c r="BL43" s="3">
        <v>42898</v>
      </c>
      <c r="BM43">
        <v>9.08</v>
      </c>
      <c r="BN43">
        <v>9.08</v>
      </c>
      <c r="BO43">
        <v>8.7799999999999994</v>
      </c>
      <c r="BP43">
        <v>8.85</v>
      </c>
      <c r="BQ43">
        <v>8.85</v>
      </c>
      <c r="BR43" s="2" t="s">
        <v>4351</v>
      </c>
      <c r="BU43" s="3">
        <v>42898</v>
      </c>
      <c r="BV43">
        <v>1.1599999999999999</v>
      </c>
      <c r="BW43">
        <v>1.1599999999999999</v>
      </c>
      <c r="BX43">
        <v>1.1399999999999999</v>
      </c>
      <c r="BY43">
        <v>1.1399999999999999</v>
      </c>
      <c r="BZ43">
        <v>1.1299999999999999</v>
      </c>
      <c r="CA43" s="2" t="s">
        <v>4430</v>
      </c>
      <c r="CD43" s="3">
        <v>42898</v>
      </c>
      <c r="CE43">
        <v>6.59</v>
      </c>
      <c r="CF43">
        <v>6.62</v>
      </c>
      <c r="CG43">
        <v>6.46</v>
      </c>
      <c r="CH43">
        <v>6.5</v>
      </c>
      <c r="CI43">
        <v>6.45</v>
      </c>
      <c r="CJ43" s="2" t="s">
        <v>4504</v>
      </c>
      <c r="CM43" s="3">
        <v>42895</v>
      </c>
      <c r="CN43">
        <v>1.21</v>
      </c>
      <c r="CO43">
        <v>1.22</v>
      </c>
      <c r="CP43">
        <v>1.18</v>
      </c>
      <c r="CQ43">
        <v>1.21</v>
      </c>
      <c r="CR43">
        <v>1.21</v>
      </c>
      <c r="CS43" s="2" t="s">
        <v>4588</v>
      </c>
      <c r="CV43" s="3">
        <v>42898</v>
      </c>
      <c r="CW43">
        <v>12.24</v>
      </c>
      <c r="CX43">
        <v>12.4</v>
      </c>
      <c r="CY43">
        <v>12.18</v>
      </c>
      <c r="CZ43">
        <v>12.18</v>
      </c>
      <c r="DA43">
        <v>12.18</v>
      </c>
      <c r="DB43" s="2" t="s">
        <v>4671</v>
      </c>
    </row>
    <row r="44" spans="10:106" x14ac:dyDescent="0.4">
      <c r="J44" s="3">
        <v>42898</v>
      </c>
      <c r="K44">
        <v>0.74</v>
      </c>
      <c r="L44">
        <v>0.74</v>
      </c>
      <c r="M44">
        <v>0.72</v>
      </c>
      <c r="N44">
        <v>0.74</v>
      </c>
      <c r="O44">
        <v>0.74</v>
      </c>
      <c r="P44" s="2" t="s">
        <v>3866</v>
      </c>
      <c r="S44" s="3">
        <v>42899</v>
      </c>
      <c r="T44">
        <v>47.9</v>
      </c>
      <c r="U44">
        <v>48.15</v>
      </c>
      <c r="V44">
        <v>47.6</v>
      </c>
      <c r="W44">
        <v>47.9</v>
      </c>
      <c r="X44">
        <v>47.79</v>
      </c>
      <c r="Y44" s="2" t="s">
        <v>3942</v>
      </c>
      <c r="AB44" s="3">
        <v>42899</v>
      </c>
      <c r="AC44">
        <v>2.94</v>
      </c>
      <c r="AD44">
        <v>2.97</v>
      </c>
      <c r="AE44">
        <v>2.86</v>
      </c>
      <c r="AF44">
        <v>2.9</v>
      </c>
      <c r="AG44">
        <v>2.9</v>
      </c>
      <c r="AH44" s="2" t="s">
        <v>4025</v>
      </c>
      <c r="AK44" s="3">
        <v>42899</v>
      </c>
      <c r="AL44">
        <v>8.0299999999999994</v>
      </c>
      <c r="AM44">
        <v>8.51</v>
      </c>
      <c r="AN44">
        <v>7.98</v>
      </c>
      <c r="AO44">
        <v>8.4700000000000006</v>
      </c>
      <c r="AP44">
        <v>8.2899999999999991</v>
      </c>
      <c r="AQ44" s="2" t="s">
        <v>4108</v>
      </c>
      <c r="AT44" s="3">
        <v>42899</v>
      </c>
      <c r="AU44">
        <v>1.51</v>
      </c>
      <c r="AV44">
        <v>1.54</v>
      </c>
      <c r="AW44">
        <v>1.5</v>
      </c>
      <c r="AX44">
        <v>1.52</v>
      </c>
      <c r="AY44">
        <v>1.45</v>
      </c>
      <c r="AZ44" s="2" t="s">
        <v>4191</v>
      </c>
      <c r="BC44" s="3">
        <v>42898</v>
      </c>
      <c r="BD44">
        <v>1.74</v>
      </c>
      <c r="BE44">
        <v>1.74</v>
      </c>
      <c r="BF44">
        <v>1.71</v>
      </c>
      <c r="BG44">
        <v>1.73</v>
      </c>
      <c r="BH44">
        <v>1.73</v>
      </c>
      <c r="BI44" s="2" t="s">
        <v>4268</v>
      </c>
      <c r="BL44" s="3">
        <v>42899</v>
      </c>
      <c r="BM44">
        <v>8.8699999999999992</v>
      </c>
      <c r="BN44">
        <v>9</v>
      </c>
      <c r="BO44">
        <v>8.7799999999999994</v>
      </c>
      <c r="BP44">
        <v>8.84</v>
      </c>
      <c r="BQ44">
        <v>8.84</v>
      </c>
      <c r="BR44" s="2" t="s">
        <v>4350</v>
      </c>
      <c r="BU44" s="3">
        <v>42899</v>
      </c>
      <c r="BV44">
        <v>1.1499999999999999</v>
      </c>
      <c r="BW44">
        <v>1.1599999999999999</v>
      </c>
      <c r="BX44">
        <v>1.1399999999999999</v>
      </c>
      <c r="BY44">
        <v>1.1399999999999999</v>
      </c>
      <c r="BZ44">
        <v>1.1299999999999999</v>
      </c>
      <c r="CA44" s="2" t="s">
        <v>4429</v>
      </c>
      <c r="CD44" s="3">
        <v>42899</v>
      </c>
      <c r="CE44">
        <v>6.45</v>
      </c>
      <c r="CF44">
        <v>6.53</v>
      </c>
      <c r="CG44">
        <v>6.45</v>
      </c>
      <c r="CH44">
        <v>6.49</v>
      </c>
      <c r="CI44">
        <v>6.49</v>
      </c>
      <c r="CJ44" s="2" t="s">
        <v>4503</v>
      </c>
      <c r="CM44" s="3">
        <v>42898</v>
      </c>
      <c r="CN44">
        <v>1.2</v>
      </c>
      <c r="CO44">
        <v>1.21</v>
      </c>
      <c r="CP44">
        <v>1.17</v>
      </c>
      <c r="CQ44">
        <v>1.17</v>
      </c>
      <c r="CR44">
        <v>1.17</v>
      </c>
      <c r="CS44" s="2" t="s">
        <v>4587</v>
      </c>
      <c r="CV44" s="3">
        <v>42899</v>
      </c>
      <c r="CW44">
        <v>12.18</v>
      </c>
      <c r="CX44">
        <v>12.22</v>
      </c>
      <c r="CY44">
        <v>12.12</v>
      </c>
      <c r="CZ44">
        <v>12.18</v>
      </c>
      <c r="DA44">
        <v>12.18</v>
      </c>
      <c r="DB44" s="2" t="s">
        <v>4670</v>
      </c>
    </row>
    <row r="45" spans="10:106" x14ac:dyDescent="0.4">
      <c r="J45" s="3">
        <v>42899</v>
      </c>
      <c r="K45">
        <v>0.74</v>
      </c>
      <c r="L45">
        <v>0.78</v>
      </c>
      <c r="M45">
        <v>0.74</v>
      </c>
      <c r="N45">
        <v>0.77</v>
      </c>
      <c r="O45">
        <v>0.77</v>
      </c>
      <c r="P45" s="2" t="s">
        <v>3850</v>
      </c>
      <c r="S45" s="3">
        <v>42900</v>
      </c>
      <c r="T45">
        <v>48.5</v>
      </c>
      <c r="U45">
        <v>48.5</v>
      </c>
      <c r="V45">
        <v>47.7</v>
      </c>
      <c r="W45">
        <v>48</v>
      </c>
      <c r="X45">
        <v>47.89</v>
      </c>
      <c r="Y45" s="2" t="s">
        <v>3941</v>
      </c>
      <c r="AB45" s="3">
        <v>42900</v>
      </c>
      <c r="AC45">
        <v>2.88</v>
      </c>
      <c r="AD45">
        <v>2.9</v>
      </c>
      <c r="AE45">
        <v>2.8</v>
      </c>
      <c r="AF45">
        <v>2.89</v>
      </c>
      <c r="AG45">
        <v>2.89</v>
      </c>
      <c r="AH45" s="2" t="s">
        <v>4024</v>
      </c>
      <c r="AK45" s="3">
        <v>42900</v>
      </c>
      <c r="AL45">
        <v>8.5</v>
      </c>
      <c r="AM45">
        <v>8.6</v>
      </c>
      <c r="AN45">
        <v>8.36</v>
      </c>
      <c r="AO45">
        <v>8.5</v>
      </c>
      <c r="AP45">
        <v>8.32</v>
      </c>
      <c r="AQ45" s="2" t="s">
        <v>4107</v>
      </c>
      <c r="AT45" s="3">
        <v>42900</v>
      </c>
      <c r="AU45">
        <v>1.48</v>
      </c>
      <c r="AV45">
        <v>1.48</v>
      </c>
      <c r="AW45">
        <v>1.4</v>
      </c>
      <c r="AX45">
        <v>1.42</v>
      </c>
      <c r="AY45">
        <v>1.42</v>
      </c>
      <c r="AZ45" s="2" t="s">
        <v>4190</v>
      </c>
      <c r="BC45" s="3">
        <v>42899</v>
      </c>
      <c r="BD45">
        <v>1.73</v>
      </c>
      <c r="BE45">
        <v>1.86</v>
      </c>
      <c r="BF45">
        <v>1.73</v>
      </c>
      <c r="BG45">
        <v>1.85</v>
      </c>
      <c r="BH45">
        <v>1.85</v>
      </c>
      <c r="BI45" s="2" t="s">
        <v>4267</v>
      </c>
      <c r="BL45" s="3">
        <v>42900</v>
      </c>
      <c r="BM45">
        <v>8.86</v>
      </c>
      <c r="BN45">
        <v>8.9499999999999993</v>
      </c>
      <c r="BO45">
        <v>8.77</v>
      </c>
      <c r="BP45">
        <v>8.84</v>
      </c>
      <c r="BQ45">
        <v>8.84</v>
      </c>
      <c r="BR45" s="2" t="s">
        <v>4349</v>
      </c>
      <c r="BU45" s="3">
        <v>42900</v>
      </c>
      <c r="BV45">
        <v>1.1499999999999999</v>
      </c>
      <c r="BW45">
        <v>1.1499999999999999</v>
      </c>
      <c r="BX45">
        <v>1.1299999999999999</v>
      </c>
      <c r="BY45">
        <v>1.1299999999999999</v>
      </c>
      <c r="BZ45">
        <v>1.1200000000000001</v>
      </c>
      <c r="CA45" s="2" t="s">
        <v>4428</v>
      </c>
      <c r="CD45" s="3">
        <v>42900</v>
      </c>
      <c r="CE45">
        <v>6.49</v>
      </c>
      <c r="CF45">
        <v>6.57</v>
      </c>
      <c r="CG45">
        <v>6.47</v>
      </c>
      <c r="CH45">
        <v>6.48</v>
      </c>
      <c r="CI45">
        <v>6.48</v>
      </c>
      <c r="CJ45" s="2" t="s">
        <v>4502</v>
      </c>
      <c r="CM45" s="3">
        <v>42899</v>
      </c>
      <c r="CN45">
        <v>1.17</v>
      </c>
      <c r="CO45">
        <v>1.19</v>
      </c>
      <c r="CP45">
        <v>1.1599999999999999</v>
      </c>
      <c r="CQ45">
        <v>1.19</v>
      </c>
      <c r="CR45">
        <v>1.19</v>
      </c>
      <c r="CS45" s="2" t="s">
        <v>4586</v>
      </c>
      <c r="CV45" s="3">
        <v>42900</v>
      </c>
      <c r="CW45">
        <v>12.16</v>
      </c>
      <c r="CX45">
        <v>12.18</v>
      </c>
      <c r="CY45">
        <v>12</v>
      </c>
      <c r="CZ45">
        <v>12.02</v>
      </c>
      <c r="DA45">
        <v>12.02</v>
      </c>
      <c r="DB45" s="2" t="s">
        <v>4669</v>
      </c>
    </row>
    <row r="46" spans="10:106" x14ac:dyDescent="0.4">
      <c r="J46" s="3">
        <v>42900</v>
      </c>
      <c r="K46">
        <v>0.77</v>
      </c>
      <c r="L46">
        <v>0.77</v>
      </c>
      <c r="M46">
        <v>0.75</v>
      </c>
      <c r="N46">
        <v>0.75</v>
      </c>
      <c r="O46">
        <v>0.75</v>
      </c>
      <c r="P46" s="2" t="s">
        <v>3864</v>
      </c>
      <c r="S46" s="3">
        <v>42901</v>
      </c>
      <c r="T46">
        <v>47.75</v>
      </c>
      <c r="U46">
        <v>48.55</v>
      </c>
      <c r="V46">
        <v>47.75</v>
      </c>
      <c r="W46">
        <v>48.3</v>
      </c>
      <c r="X46">
        <v>48.19</v>
      </c>
      <c r="Y46" s="2" t="s">
        <v>3940</v>
      </c>
      <c r="AB46" s="3">
        <v>42901</v>
      </c>
      <c r="AC46">
        <v>2.89</v>
      </c>
      <c r="AD46">
        <v>2.89</v>
      </c>
      <c r="AE46">
        <v>2.84</v>
      </c>
      <c r="AF46">
        <v>2.86</v>
      </c>
      <c r="AG46">
        <v>2.86</v>
      </c>
      <c r="AH46" s="2" t="s">
        <v>4023</v>
      </c>
      <c r="AK46" s="3">
        <v>42901</v>
      </c>
      <c r="AL46">
        <v>8.3000000000000007</v>
      </c>
      <c r="AM46">
        <v>8.36</v>
      </c>
      <c r="AN46">
        <v>8.11</v>
      </c>
      <c r="AO46">
        <v>8.18</v>
      </c>
      <c r="AP46">
        <v>8.18</v>
      </c>
      <c r="AQ46" s="2" t="s">
        <v>4106</v>
      </c>
      <c r="AT46" s="3">
        <v>42901</v>
      </c>
      <c r="AU46">
        <v>1.41</v>
      </c>
      <c r="AV46">
        <v>1.42</v>
      </c>
      <c r="AW46">
        <v>1.36</v>
      </c>
      <c r="AX46">
        <v>1.37</v>
      </c>
      <c r="AY46">
        <v>1.37</v>
      </c>
      <c r="AZ46" s="2" t="s">
        <v>4189</v>
      </c>
      <c r="BC46" s="3">
        <v>42900</v>
      </c>
      <c r="BD46">
        <v>1.85</v>
      </c>
      <c r="BE46">
        <v>1.89</v>
      </c>
      <c r="BF46">
        <v>1.79</v>
      </c>
      <c r="BG46">
        <v>1.82</v>
      </c>
      <c r="BH46">
        <v>1.82</v>
      </c>
      <c r="BI46" s="2" t="s">
        <v>4266</v>
      </c>
      <c r="BL46" s="3">
        <v>42901</v>
      </c>
      <c r="BM46">
        <v>8.86</v>
      </c>
      <c r="BN46">
        <v>9.0299999999999994</v>
      </c>
      <c r="BO46">
        <v>8.84</v>
      </c>
      <c r="BP46">
        <v>8.84</v>
      </c>
      <c r="BQ46">
        <v>8.84</v>
      </c>
      <c r="BR46" s="2" t="s">
        <v>4348</v>
      </c>
      <c r="BU46" s="3">
        <v>42901</v>
      </c>
      <c r="BV46">
        <v>1.1499999999999999</v>
      </c>
      <c r="BW46">
        <v>1.1599999999999999</v>
      </c>
      <c r="BX46">
        <v>1.1200000000000001</v>
      </c>
      <c r="BY46">
        <v>1.1299999999999999</v>
      </c>
      <c r="BZ46">
        <v>1.1200000000000001</v>
      </c>
      <c r="CA46" s="2" t="s">
        <v>4427</v>
      </c>
      <c r="CD46" s="3">
        <v>42901</v>
      </c>
      <c r="CE46">
        <v>6.48</v>
      </c>
      <c r="CF46">
        <v>6.5</v>
      </c>
      <c r="CG46">
        <v>6.4</v>
      </c>
      <c r="CH46">
        <v>6.44</v>
      </c>
      <c r="CI46">
        <v>6.44</v>
      </c>
      <c r="CJ46" s="2" t="s">
        <v>4501</v>
      </c>
      <c r="CM46" s="3">
        <v>42900</v>
      </c>
      <c r="CN46">
        <v>1.19</v>
      </c>
      <c r="CO46">
        <v>1.19</v>
      </c>
      <c r="CP46">
        <v>1.17</v>
      </c>
      <c r="CQ46">
        <v>1.17</v>
      </c>
      <c r="CR46">
        <v>1.17</v>
      </c>
      <c r="CS46" s="2" t="s">
        <v>4585</v>
      </c>
      <c r="CV46" s="3">
        <v>42901</v>
      </c>
      <c r="CW46">
        <v>12.04</v>
      </c>
      <c r="CX46">
        <v>12.08</v>
      </c>
      <c r="CY46">
        <v>11.94</v>
      </c>
      <c r="CZ46">
        <v>11.94</v>
      </c>
      <c r="DA46">
        <v>11.94</v>
      </c>
      <c r="DB46" s="2" t="s">
        <v>4668</v>
      </c>
    </row>
    <row r="47" spans="10:106" x14ac:dyDescent="0.4">
      <c r="J47" s="3">
        <v>42901</v>
      </c>
      <c r="K47">
        <v>0.75</v>
      </c>
      <c r="L47">
        <v>0.75</v>
      </c>
      <c r="M47">
        <v>0.74</v>
      </c>
      <c r="N47">
        <v>0.75</v>
      </c>
      <c r="O47">
        <v>0.75</v>
      </c>
      <c r="P47" s="2" t="s">
        <v>3865</v>
      </c>
      <c r="S47" s="3">
        <v>42902</v>
      </c>
      <c r="T47">
        <v>48.4</v>
      </c>
      <c r="U47">
        <v>48.45</v>
      </c>
      <c r="V47">
        <v>47.9</v>
      </c>
      <c r="W47">
        <v>48.4</v>
      </c>
      <c r="X47">
        <v>48.29</v>
      </c>
      <c r="Y47" s="2" t="s">
        <v>3939</v>
      </c>
      <c r="AB47" s="3">
        <v>42902</v>
      </c>
      <c r="AC47">
        <v>2.83</v>
      </c>
      <c r="AD47">
        <v>2.88</v>
      </c>
      <c r="AE47">
        <v>2.81</v>
      </c>
      <c r="AF47">
        <v>2.88</v>
      </c>
      <c r="AG47">
        <v>2.88</v>
      </c>
      <c r="AH47" s="2" t="s">
        <v>4022</v>
      </c>
      <c r="AK47" s="3">
        <v>42902</v>
      </c>
      <c r="AL47">
        <v>8.16</v>
      </c>
      <c r="AM47">
        <v>8.27</v>
      </c>
      <c r="AN47">
        <v>8.11</v>
      </c>
      <c r="AO47">
        <v>8.1199999999999992</v>
      </c>
      <c r="AP47">
        <v>8.1199999999999992</v>
      </c>
      <c r="AQ47" s="2" t="s">
        <v>4105</v>
      </c>
      <c r="AT47" s="3">
        <v>42902</v>
      </c>
      <c r="AU47">
        <v>1.39</v>
      </c>
      <c r="AV47">
        <v>1.44</v>
      </c>
      <c r="AW47">
        <v>1.39</v>
      </c>
      <c r="AX47">
        <v>1.43</v>
      </c>
      <c r="AY47">
        <v>1.43</v>
      </c>
      <c r="AZ47" s="2" t="s">
        <v>4188</v>
      </c>
      <c r="BC47" s="3">
        <v>42901</v>
      </c>
      <c r="BD47">
        <v>1.82</v>
      </c>
      <c r="BE47">
        <v>1.82</v>
      </c>
      <c r="BF47">
        <v>1.76</v>
      </c>
      <c r="BG47">
        <v>1.79</v>
      </c>
      <c r="BH47">
        <v>1.79</v>
      </c>
      <c r="BI47" s="2" t="s">
        <v>4265</v>
      </c>
      <c r="BL47" s="3">
        <v>42902</v>
      </c>
      <c r="BM47">
        <v>8.83</v>
      </c>
      <c r="BN47">
        <v>9.0299999999999994</v>
      </c>
      <c r="BO47">
        <v>8.77</v>
      </c>
      <c r="BP47">
        <v>9.0299999999999994</v>
      </c>
      <c r="BQ47">
        <v>9.0299999999999994</v>
      </c>
      <c r="BR47" s="2" t="s">
        <v>4347</v>
      </c>
      <c r="BU47" s="3">
        <v>42902</v>
      </c>
      <c r="BV47">
        <v>1.1299999999999999</v>
      </c>
      <c r="BW47">
        <v>1.1399999999999999</v>
      </c>
      <c r="BX47">
        <v>1.1200000000000001</v>
      </c>
      <c r="BY47">
        <v>1.1299999999999999</v>
      </c>
      <c r="BZ47">
        <v>1.1200000000000001</v>
      </c>
      <c r="CA47" s="2" t="s">
        <v>4426</v>
      </c>
      <c r="CD47" s="3">
        <v>42902</v>
      </c>
      <c r="CE47">
        <v>6.4</v>
      </c>
      <c r="CF47">
        <v>6.44</v>
      </c>
      <c r="CG47">
        <v>6.2</v>
      </c>
      <c r="CH47">
        <v>6.36</v>
      </c>
      <c r="CI47">
        <v>6.36</v>
      </c>
      <c r="CJ47" s="2" t="s">
        <v>4500</v>
      </c>
      <c r="CM47" s="3">
        <v>42901</v>
      </c>
      <c r="CN47">
        <v>1.1599999999999999</v>
      </c>
      <c r="CO47">
        <v>1.17</v>
      </c>
      <c r="CP47">
        <v>1.1499999999999999</v>
      </c>
      <c r="CQ47">
        <v>1.1599999999999999</v>
      </c>
      <c r="CR47">
        <v>1.1599999999999999</v>
      </c>
      <c r="CS47" s="2" t="s">
        <v>4584</v>
      </c>
      <c r="CV47" s="3">
        <v>42902</v>
      </c>
      <c r="CW47">
        <v>12</v>
      </c>
      <c r="CX47">
        <v>12.02</v>
      </c>
      <c r="CY47">
        <v>11.88</v>
      </c>
      <c r="CZ47">
        <v>11.88</v>
      </c>
      <c r="DA47">
        <v>11.88</v>
      </c>
      <c r="DB47" s="2" t="s">
        <v>4667</v>
      </c>
    </row>
    <row r="48" spans="10:106" x14ac:dyDescent="0.4">
      <c r="J48" s="3">
        <v>42902</v>
      </c>
      <c r="K48">
        <v>0.75</v>
      </c>
      <c r="L48">
        <v>0.75</v>
      </c>
      <c r="M48">
        <v>0.74</v>
      </c>
      <c r="N48">
        <v>0.74</v>
      </c>
      <c r="O48">
        <v>0.74</v>
      </c>
      <c r="P48" s="2" t="s">
        <v>3864</v>
      </c>
      <c r="S48" s="3">
        <v>42905</v>
      </c>
      <c r="T48">
        <v>49</v>
      </c>
      <c r="U48">
        <v>49.35</v>
      </c>
      <c r="V48">
        <v>48.5</v>
      </c>
      <c r="W48">
        <v>48.7</v>
      </c>
      <c r="X48">
        <v>48.59</v>
      </c>
      <c r="Y48" s="2" t="s">
        <v>3938</v>
      </c>
      <c r="AB48" s="3">
        <v>42905</v>
      </c>
      <c r="AC48">
        <v>2.85</v>
      </c>
      <c r="AD48">
        <v>2.9</v>
      </c>
      <c r="AE48">
        <v>2.85</v>
      </c>
      <c r="AF48">
        <v>2.87</v>
      </c>
      <c r="AG48">
        <v>2.87</v>
      </c>
      <c r="AH48" s="2" t="s">
        <v>4021</v>
      </c>
      <c r="AK48" s="3">
        <v>42905</v>
      </c>
      <c r="AL48">
        <v>8.1199999999999992</v>
      </c>
      <c r="AM48">
        <v>8.35</v>
      </c>
      <c r="AN48">
        <v>8.11</v>
      </c>
      <c r="AO48">
        <v>8.24</v>
      </c>
      <c r="AP48">
        <v>8.24</v>
      </c>
      <c r="AQ48" s="2" t="s">
        <v>4104</v>
      </c>
      <c r="AT48" s="3">
        <v>42905</v>
      </c>
      <c r="AU48">
        <v>1.42</v>
      </c>
      <c r="AV48">
        <v>1.46</v>
      </c>
      <c r="AW48">
        <v>1.41</v>
      </c>
      <c r="AX48">
        <v>1.44</v>
      </c>
      <c r="AY48">
        <v>1.44</v>
      </c>
      <c r="AZ48" s="2" t="s">
        <v>4187</v>
      </c>
      <c r="BC48" s="3">
        <v>42902</v>
      </c>
      <c r="BD48">
        <v>1.8</v>
      </c>
      <c r="BE48">
        <v>1.82</v>
      </c>
      <c r="BF48">
        <v>1.79</v>
      </c>
      <c r="BG48">
        <v>1.81</v>
      </c>
      <c r="BH48">
        <v>1.81</v>
      </c>
      <c r="BI48" s="2" t="s">
        <v>4264</v>
      </c>
      <c r="BL48" s="3">
        <v>42905</v>
      </c>
      <c r="BM48">
        <v>8.99</v>
      </c>
      <c r="BN48">
        <v>9.1</v>
      </c>
      <c r="BO48">
        <v>8.81</v>
      </c>
      <c r="BP48">
        <v>9.07</v>
      </c>
      <c r="BQ48">
        <v>9.07</v>
      </c>
      <c r="BR48" s="2" t="s">
        <v>4346</v>
      </c>
      <c r="BU48" s="3">
        <v>42905</v>
      </c>
      <c r="BV48">
        <v>1.1200000000000001</v>
      </c>
      <c r="BW48">
        <v>1.1399999999999999</v>
      </c>
      <c r="BX48">
        <v>1.1200000000000001</v>
      </c>
      <c r="BY48">
        <v>1.1299999999999999</v>
      </c>
      <c r="BZ48">
        <v>1.1200000000000001</v>
      </c>
      <c r="CA48" s="2" t="s">
        <v>4425</v>
      </c>
      <c r="CD48" s="3">
        <v>42905</v>
      </c>
      <c r="CE48">
        <v>6.35</v>
      </c>
      <c r="CF48">
        <v>6.4</v>
      </c>
      <c r="CG48">
        <v>6.31</v>
      </c>
      <c r="CH48">
        <v>6.32</v>
      </c>
      <c r="CI48">
        <v>6.32</v>
      </c>
      <c r="CJ48" s="2" t="s">
        <v>4499</v>
      </c>
      <c r="CM48" s="3">
        <v>42902</v>
      </c>
      <c r="CN48">
        <v>1.1599999999999999</v>
      </c>
      <c r="CO48">
        <v>1.1599999999999999</v>
      </c>
      <c r="CP48">
        <v>1.1299999999999999</v>
      </c>
      <c r="CQ48">
        <v>1.1399999999999999</v>
      </c>
      <c r="CR48">
        <v>1.1399999999999999</v>
      </c>
      <c r="CS48" s="2" t="s">
        <v>4583</v>
      </c>
      <c r="CV48" s="3">
        <v>42905</v>
      </c>
      <c r="CW48">
        <v>11.9</v>
      </c>
      <c r="CX48">
        <v>12.06</v>
      </c>
      <c r="CY48">
        <v>11.9</v>
      </c>
      <c r="CZ48">
        <v>12.02</v>
      </c>
      <c r="DA48">
        <v>12.02</v>
      </c>
      <c r="DB48" s="2" t="s">
        <v>4666</v>
      </c>
    </row>
    <row r="49" spans="10:106" x14ac:dyDescent="0.4">
      <c r="J49" s="3">
        <v>42905</v>
      </c>
      <c r="K49">
        <v>0.74</v>
      </c>
      <c r="L49">
        <v>0.74</v>
      </c>
      <c r="M49">
        <v>0.73</v>
      </c>
      <c r="N49">
        <v>0.74</v>
      </c>
      <c r="O49">
        <v>0.74</v>
      </c>
      <c r="P49" s="2" t="s">
        <v>3863</v>
      </c>
      <c r="S49" s="3">
        <v>42906</v>
      </c>
      <c r="T49">
        <v>49.4</v>
      </c>
      <c r="U49">
        <v>52.7</v>
      </c>
      <c r="V49">
        <v>49.2</v>
      </c>
      <c r="W49">
        <v>52.65</v>
      </c>
      <c r="X49">
        <v>52.53</v>
      </c>
      <c r="Y49" s="2" t="s">
        <v>3937</v>
      </c>
      <c r="AB49" s="3">
        <v>42906</v>
      </c>
      <c r="AC49">
        <v>2.88</v>
      </c>
      <c r="AD49">
        <v>2.89</v>
      </c>
      <c r="AE49">
        <v>2.83</v>
      </c>
      <c r="AF49">
        <v>2.85</v>
      </c>
      <c r="AG49">
        <v>2.85</v>
      </c>
      <c r="AH49" s="2" t="s">
        <v>4020</v>
      </c>
      <c r="AK49" s="3">
        <v>42906</v>
      </c>
      <c r="AL49">
        <v>8.2899999999999991</v>
      </c>
      <c r="AM49">
        <v>8.5500000000000007</v>
      </c>
      <c r="AN49">
        <v>8.26</v>
      </c>
      <c r="AO49">
        <v>8.3800000000000008</v>
      </c>
      <c r="AP49">
        <v>8.3800000000000008</v>
      </c>
      <c r="AQ49" s="2" t="s">
        <v>4103</v>
      </c>
      <c r="AT49" s="3">
        <v>42906</v>
      </c>
      <c r="AU49">
        <v>1.44</v>
      </c>
      <c r="AV49">
        <v>1.45</v>
      </c>
      <c r="AW49">
        <v>1.4</v>
      </c>
      <c r="AX49">
        <v>1.42</v>
      </c>
      <c r="AY49">
        <v>1.42</v>
      </c>
      <c r="AZ49" s="2" t="s">
        <v>4186</v>
      </c>
      <c r="BC49" s="3">
        <v>42905</v>
      </c>
      <c r="BD49">
        <v>1.84</v>
      </c>
      <c r="BE49">
        <v>1.96</v>
      </c>
      <c r="BF49">
        <v>1.81</v>
      </c>
      <c r="BG49">
        <v>1.9</v>
      </c>
      <c r="BH49">
        <v>1.9</v>
      </c>
      <c r="BI49" s="2" t="s">
        <v>4263</v>
      </c>
      <c r="BL49" s="3">
        <v>42906</v>
      </c>
      <c r="BM49">
        <v>9.02</v>
      </c>
      <c r="BN49">
        <v>9.1</v>
      </c>
      <c r="BO49">
        <v>8.9600000000000009</v>
      </c>
      <c r="BP49">
        <v>9.0500000000000007</v>
      </c>
      <c r="BQ49">
        <v>9.0500000000000007</v>
      </c>
      <c r="BR49" s="2" t="s">
        <v>4345</v>
      </c>
      <c r="BU49" s="3">
        <v>42906</v>
      </c>
      <c r="BV49">
        <v>1.1299999999999999</v>
      </c>
      <c r="BW49">
        <v>1.1499999999999999</v>
      </c>
      <c r="BX49">
        <v>1.1299999999999999</v>
      </c>
      <c r="BY49">
        <v>1.1299999999999999</v>
      </c>
      <c r="BZ49">
        <v>1.1200000000000001</v>
      </c>
      <c r="CA49" s="2" t="s">
        <v>4424</v>
      </c>
      <c r="CD49" s="3">
        <v>42906</v>
      </c>
      <c r="CE49">
        <v>6.31</v>
      </c>
      <c r="CF49">
        <v>6.33</v>
      </c>
      <c r="CG49">
        <v>6.23</v>
      </c>
      <c r="CH49">
        <v>6.27</v>
      </c>
      <c r="CI49">
        <v>6.27</v>
      </c>
      <c r="CJ49" s="2" t="s">
        <v>4498</v>
      </c>
      <c r="CM49" s="3">
        <v>42905</v>
      </c>
      <c r="CN49">
        <v>1.1299999999999999</v>
      </c>
      <c r="CO49">
        <v>1.1499999999999999</v>
      </c>
      <c r="CP49">
        <v>1.1299999999999999</v>
      </c>
      <c r="CQ49">
        <v>1.1399999999999999</v>
      </c>
      <c r="CR49">
        <v>1.1399999999999999</v>
      </c>
      <c r="CS49" s="2" t="s">
        <v>4582</v>
      </c>
      <c r="CV49" s="3">
        <v>42906</v>
      </c>
      <c r="CW49">
        <v>12.06</v>
      </c>
      <c r="CX49">
        <v>12.08</v>
      </c>
      <c r="CY49">
        <v>11.94</v>
      </c>
      <c r="CZ49">
        <v>11.96</v>
      </c>
      <c r="DA49">
        <v>11.96</v>
      </c>
      <c r="DB49" s="2" t="s">
        <v>4665</v>
      </c>
    </row>
    <row r="50" spans="10:106" x14ac:dyDescent="0.4">
      <c r="J50" s="3">
        <v>42906</v>
      </c>
      <c r="K50">
        <v>0.74</v>
      </c>
      <c r="L50">
        <v>0.75</v>
      </c>
      <c r="M50">
        <v>0.74</v>
      </c>
      <c r="N50">
        <v>0.74</v>
      </c>
      <c r="O50">
        <v>0.74</v>
      </c>
      <c r="P50" s="2" t="s">
        <v>3840</v>
      </c>
      <c r="S50" s="3">
        <v>42907</v>
      </c>
      <c r="T50">
        <v>55.55</v>
      </c>
      <c r="U50">
        <v>56.15</v>
      </c>
      <c r="V50">
        <v>52.25</v>
      </c>
      <c r="W50">
        <v>53.55</v>
      </c>
      <c r="X50">
        <v>53.43</v>
      </c>
      <c r="Y50" s="2" t="s">
        <v>3936</v>
      </c>
      <c r="AB50" s="3">
        <v>42907</v>
      </c>
      <c r="AC50">
        <v>2.85</v>
      </c>
      <c r="AD50">
        <v>2.85</v>
      </c>
      <c r="AE50">
        <v>2.8</v>
      </c>
      <c r="AF50">
        <v>2.84</v>
      </c>
      <c r="AG50">
        <v>2.84</v>
      </c>
      <c r="AH50" s="2" t="s">
        <v>4019</v>
      </c>
      <c r="AK50" s="3">
        <v>42907</v>
      </c>
      <c r="AL50">
        <v>8.3699999999999992</v>
      </c>
      <c r="AM50">
        <v>8.4700000000000006</v>
      </c>
      <c r="AN50">
        <v>8.25</v>
      </c>
      <c r="AO50">
        <v>8.4499999999999993</v>
      </c>
      <c r="AP50">
        <v>8.4499999999999993</v>
      </c>
      <c r="AQ50" s="2" t="s">
        <v>4102</v>
      </c>
      <c r="AT50" s="3">
        <v>42907</v>
      </c>
      <c r="AU50">
        <v>1.42</v>
      </c>
      <c r="AV50">
        <v>1.47</v>
      </c>
      <c r="AW50">
        <v>1.39</v>
      </c>
      <c r="AX50">
        <v>1.44</v>
      </c>
      <c r="AY50">
        <v>1.44</v>
      </c>
      <c r="AZ50" s="2" t="s">
        <v>4185</v>
      </c>
      <c r="BC50" s="3">
        <v>42906</v>
      </c>
      <c r="BD50">
        <v>1.92</v>
      </c>
      <c r="BE50">
        <v>1.92</v>
      </c>
      <c r="BF50">
        <v>1.85</v>
      </c>
      <c r="BG50">
        <v>1.88</v>
      </c>
      <c r="BH50">
        <v>1.88</v>
      </c>
      <c r="BI50" s="2" t="s">
        <v>3896</v>
      </c>
      <c r="BL50" s="3">
        <v>42907</v>
      </c>
      <c r="BM50">
        <v>9.0500000000000007</v>
      </c>
      <c r="BN50">
        <v>9.06</v>
      </c>
      <c r="BO50">
        <v>8.93</v>
      </c>
      <c r="BP50">
        <v>8.98</v>
      </c>
      <c r="BQ50">
        <v>8.98</v>
      </c>
      <c r="BR50" s="2" t="s">
        <v>4344</v>
      </c>
      <c r="BU50" s="3">
        <v>42907</v>
      </c>
      <c r="BV50">
        <v>1.1299999999999999</v>
      </c>
      <c r="BW50">
        <v>1.1399999999999999</v>
      </c>
      <c r="BX50">
        <v>1.1299999999999999</v>
      </c>
      <c r="BY50">
        <v>1.1299999999999999</v>
      </c>
      <c r="BZ50">
        <v>1.1200000000000001</v>
      </c>
      <c r="CA50" s="2" t="s">
        <v>4423</v>
      </c>
      <c r="CD50" s="3">
        <v>42907</v>
      </c>
      <c r="CE50">
        <v>6.3</v>
      </c>
      <c r="CF50">
        <v>6.44</v>
      </c>
      <c r="CG50">
        <v>6.29</v>
      </c>
      <c r="CH50">
        <v>6.3</v>
      </c>
      <c r="CI50">
        <v>6.3</v>
      </c>
      <c r="CJ50" s="2" t="s">
        <v>4497</v>
      </c>
      <c r="CM50" s="3">
        <v>42906</v>
      </c>
      <c r="CN50">
        <v>1.1399999999999999</v>
      </c>
      <c r="CO50">
        <v>1.1599999999999999</v>
      </c>
      <c r="CP50">
        <v>1.1399999999999999</v>
      </c>
      <c r="CQ50">
        <v>1.1499999999999999</v>
      </c>
      <c r="CR50">
        <v>1.1499999999999999</v>
      </c>
      <c r="CS50" s="2" t="s">
        <v>4581</v>
      </c>
      <c r="CV50" s="3">
        <v>42907</v>
      </c>
      <c r="CW50">
        <v>12.1</v>
      </c>
      <c r="CX50">
        <v>12.12</v>
      </c>
      <c r="CY50">
        <v>11.98</v>
      </c>
      <c r="CZ50">
        <v>12.08</v>
      </c>
      <c r="DA50">
        <v>12.08</v>
      </c>
      <c r="DB50" s="2" t="s">
        <v>4664</v>
      </c>
    </row>
    <row r="51" spans="10:106" x14ac:dyDescent="0.4">
      <c r="J51" s="3">
        <v>42907</v>
      </c>
      <c r="K51">
        <v>0.74</v>
      </c>
      <c r="L51">
        <v>0.75</v>
      </c>
      <c r="M51">
        <v>0.73</v>
      </c>
      <c r="N51">
        <v>0.75</v>
      </c>
      <c r="O51">
        <v>0.75</v>
      </c>
      <c r="P51" s="2" t="s">
        <v>3862</v>
      </c>
      <c r="S51" s="3">
        <v>42908</v>
      </c>
      <c r="T51">
        <v>52.8</v>
      </c>
      <c r="U51">
        <v>53.5</v>
      </c>
      <c r="V51">
        <v>52.2</v>
      </c>
      <c r="W51">
        <v>52.6</v>
      </c>
      <c r="X51">
        <v>52.48</v>
      </c>
      <c r="Y51" s="2" t="s">
        <v>3935</v>
      </c>
      <c r="AB51" s="3">
        <v>42908</v>
      </c>
      <c r="AC51">
        <v>2.84</v>
      </c>
      <c r="AD51">
        <v>2.84</v>
      </c>
      <c r="AE51">
        <v>2.81</v>
      </c>
      <c r="AF51">
        <v>2.82</v>
      </c>
      <c r="AG51">
        <v>2.82</v>
      </c>
      <c r="AH51" s="2" t="s">
        <v>4018</v>
      </c>
      <c r="AK51" s="3">
        <v>42908</v>
      </c>
      <c r="AL51">
        <v>8.39</v>
      </c>
      <c r="AM51">
        <v>8.4499999999999993</v>
      </c>
      <c r="AN51">
        <v>8.32</v>
      </c>
      <c r="AO51">
        <v>8.33</v>
      </c>
      <c r="AP51">
        <v>8.33</v>
      </c>
      <c r="AQ51" s="2" t="s">
        <v>4101</v>
      </c>
      <c r="AT51" s="3">
        <v>42908</v>
      </c>
      <c r="AU51">
        <v>1.44</v>
      </c>
      <c r="AV51">
        <v>1.45</v>
      </c>
      <c r="AW51">
        <v>1.43</v>
      </c>
      <c r="AX51">
        <v>1.44</v>
      </c>
      <c r="AY51">
        <v>1.44</v>
      </c>
      <c r="AZ51" s="2" t="s">
        <v>4184</v>
      </c>
      <c r="BC51" s="3">
        <v>42907</v>
      </c>
      <c r="BD51">
        <v>1.88</v>
      </c>
      <c r="BE51">
        <v>1.88</v>
      </c>
      <c r="BF51">
        <v>1.83</v>
      </c>
      <c r="BG51">
        <v>1.85</v>
      </c>
      <c r="BH51">
        <v>1.85</v>
      </c>
      <c r="BI51" s="2" t="s">
        <v>3876</v>
      </c>
      <c r="BL51" s="3">
        <v>42908</v>
      </c>
      <c r="BM51">
        <v>8.98</v>
      </c>
      <c r="BN51">
        <v>9.27</v>
      </c>
      <c r="BO51">
        <v>8.98</v>
      </c>
      <c r="BP51">
        <v>9.14</v>
      </c>
      <c r="BQ51">
        <v>9.14</v>
      </c>
      <c r="BR51" s="2" t="s">
        <v>4343</v>
      </c>
      <c r="BU51" s="3">
        <v>42908</v>
      </c>
      <c r="BV51">
        <v>1.1299999999999999</v>
      </c>
      <c r="BW51">
        <v>1.1499999999999999</v>
      </c>
      <c r="BX51">
        <v>1.1200000000000001</v>
      </c>
      <c r="BY51">
        <v>1.1399999999999999</v>
      </c>
      <c r="BZ51">
        <v>1.1299999999999999</v>
      </c>
      <c r="CA51" s="2" t="s">
        <v>4422</v>
      </c>
      <c r="CD51" s="3">
        <v>42908</v>
      </c>
      <c r="CE51">
        <v>6.3</v>
      </c>
      <c r="CF51">
        <v>6.44</v>
      </c>
      <c r="CG51">
        <v>6.3</v>
      </c>
      <c r="CH51">
        <v>6.42</v>
      </c>
      <c r="CI51">
        <v>6.42</v>
      </c>
      <c r="CJ51" s="2" t="s">
        <v>4496</v>
      </c>
      <c r="CM51" s="3">
        <v>42907</v>
      </c>
      <c r="CN51">
        <v>1.1499999999999999</v>
      </c>
      <c r="CO51">
        <v>1.19</v>
      </c>
      <c r="CP51">
        <v>1.1399999999999999</v>
      </c>
      <c r="CQ51">
        <v>1.17</v>
      </c>
      <c r="CR51">
        <v>1.17</v>
      </c>
      <c r="CS51" s="2" t="s">
        <v>4580</v>
      </c>
      <c r="CV51" s="3">
        <v>42908</v>
      </c>
      <c r="CW51">
        <v>12.08</v>
      </c>
      <c r="CX51">
        <v>12.38</v>
      </c>
      <c r="CY51">
        <v>12.06</v>
      </c>
      <c r="CZ51">
        <v>12.18</v>
      </c>
      <c r="DA51">
        <v>12.18</v>
      </c>
      <c r="DB51" s="2" t="s">
        <v>4663</v>
      </c>
    </row>
    <row r="52" spans="10:106" x14ac:dyDescent="0.4">
      <c r="J52" s="3">
        <v>42908</v>
      </c>
      <c r="K52">
        <v>0.74</v>
      </c>
      <c r="L52">
        <v>0.75</v>
      </c>
      <c r="M52">
        <v>0.74</v>
      </c>
      <c r="N52">
        <v>0.75</v>
      </c>
      <c r="O52">
        <v>0.75</v>
      </c>
      <c r="P52" s="2" t="s">
        <v>3861</v>
      </c>
      <c r="S52" s="3">
        <v>42909</v>
      </c>
      <c r="T52">
        <v>52.35</v>
      </c>
      <c r="U52">
        <v>52.35</v>
      </c>
      <c r="V52">
        <v>51.1</v>
      </c>
      <c r="W52">
        <v>51.55</v>
      </c>
      <c r="X52">
        <v>51.43</v>
      </c>
      <c r="Y52" s="2" t="s">
        <v>3934</v>
      </c>
      <c r="AB52" s="3">
        <v>42909</v>
      </c>
      <c r="AC52">
        <v>2.82</v>
      </c>
      <c r="AD52">
        <v>2.83</v>
      </c>
      <c r="AE52">
        <v>2.77</v>
      </c>
      <c r="AF52">
        <v>2.8</v>
      </c>
      <c r="AG52">
        <v>2.8</v>
      </c>
      <c r="AH52" s="2" t="s">
        <v>4017</v>
      </c>
      <c r="AK52" s="3">
        <v>42909</v>
      </c>
      <c r="AL52">
        <v>8.2899999999999991</v>
      </c>
      <c r="AM52">
        <v>8.42</v>
      </c>
      <c r="AN52">
        <v>8.25</v>
      </c>
      <c r="AO52">
        <v>8.3000000000000007</v>
      </c>
      <c r="AP52">
        <v>8.3000000000000007</v>
      </c>
      <c r="AQ52" s="2" t="s">
        <v>4100</v>
      </c>
      <c r="AT52" s="3">
        <v>42909</v>
      </c>
      <c r="AU52">
        <v>1.43</v>
      </c>
      <c r="AV52">
        <v>1.44</v>
      </c>
      <c r="AW52">
        <v>1.4</v>
      </c>
      <c r="AX52">
        <v>1.4</v>
      </c>
      <c r="AY52">
        <v>1.4</v>
      </c>
      <c r="AZ52" s="2" t="s">
        <v>4183</v>
      </c>
      <c r="BC52" s="3">
        <v>42908</v>
      </c>
      <c r="BD52">
        <v>1.87</v>
      </c>
      <c r="BE52">
        <v>1.89</v>
      </c>
      <c r="BF52">
        <v>1.76</v>
      </c>
      <c r="BG52">
        <v>1.8</v>
      </c>
      <c r="BH52">
        <v>1.8</v>
      </c>
      <c r="BI52" s="2" t="s">
        <v>4262</v>
      </c>
      <c r="BL52" s="3">
        <v>42909</v>
      </c>
      <c r="BM52">
        <v>9</v>
      </c>
      <c r="BN52">
        <v>9.1199999999999992</v>
      </c>
      <c r="BO52">
        <v>9</v>
      </c>
      <c r="BP52">
        <v>9.11</v>
      </c>
      <c r="BQ52">
        <v>9.11</v>
      </c>
      <c r="BR52" s="2" t="s">
        <v>4342</v>
      </c>
      <c r="BU52" s="3">
        <v>42909</v>
      </c>
      <c r="BV52">
        <v>1.1399999999999999</v>
      </c>
      <c r="BW52">
        <v>1.1599999999999999</v>
      </c>
      <c r="BX52">
        <v>1.1399999999999999</v>
      </c>
      <c r="BY52">
        <v>1.1499999999999999</v>
      </c>
      <c r="BZ52">
        <v>1.1399999999999999</v>
      </c>
      <c r="CA52" s="2" t="s">
        <v>4421</v>
      </c>
      <c r="CD52" s="3">
        <v>42909</v>
      </c>
      <c r="CE52">
        <v>6.39</v>
      </c>
      <c r="CF52">
        <v>6.44</v>
      </c>
      <c r="CG52">
        <v>6.36</v>
      </c>
      <c r="CH52">
        <v>6.42</v>
      </c>
      <c r="CI52">
        <v>6.42</v>
      </c>
      <c r="CJ52" s="2" t="s">
        <v>4495</v>
      </c>
      <c r="CM52" s="3">
        <v>42908</v>
      </c>
      <c r="CN52">
        <v>1.17</v>
      </c>
      <c r="CO52">
        <v>1.17</v>
      </c>
      <c r="CP52">
        <v>1.1499999999999999</v>
      </c>
      <c r="CQ52">
        <v>1.17</v>
      </c>
      <c r="CR52">
        <v>1.17</v>
      </c>
      <c r="CS52" s="2" t="s">
        <v>4579</v>
      </c>
      <c r="CV52" s="3">
        <v>42909</v>
      </c>
      <c r="CW52">
        <v>12.2</v>
      </c>
      <c r="CX52">
        <v>12.34</v>
      </c>
      <c r="CY52">
        <v>12.14</v>
      </c>
      <c r="CZ52">
        <v>12.3</v>
      </c>
      <c r="DA52">
        <v>12.3</v>
      </c>
      <c r="DB52" s="2" t="s">
        <v>4662</v>
      </c>
    </row>
    <row r="53" spans="10:106" x14ac:dyDescent="0.4">
      <c r="J53" s="3">
        <v>42909</v>
      </c>
      <c r="K53">
        <v>0.74</v>
      </c>
      <c r="L53">
        <v>0.75</v>
      </c>
      <c r="M53">
        <v>0.74</v>
      </c>
      <c r="N53">
        <v>0.75</v>
      </c>
      <c r="O53">
        <v>0.75</v>
      </c>
      <c r="P53" s="2" t="s">
        <v>3860</v>
      </c>
      <c r="S53" s="3">
        <v>42912</v>
      </c>
      <c r="T53">
        <v>52</v>
      </c>
      <c r="U53">
        <v>53.1</v>
      </c>
      <c r="V53">
        <v>51.05</v>
      </c>
      <c r="W53">
        <v>52.75</v>
      </c>
      <c r="X53">
        <v>52.63</v>
      </c>
      <c r="Y53" s="2" t="s">
        <v>3933</v>
      </c>
      <c r="AB53" s="3">
        <v>42912</v>
      </c>
      <c r="AC53">
        <v>2.81</v>
      </c>
      <c r="AD53">
        <v>2.81</v>
      </c>
      <c r="AE53">
        <v>2.76</v>
      </c>
      <c r="AF53">
        <v>2.8</v>
      </c>
      <c r="AG53">
        <v>2.8</v>
      </c>
      <c r="AH53" s="2" t="s">
        <v>4016</v>
      </c>
      <c r="AK53" s="3">
        <v>42912</v>
      </c>
      <c r="AL53">
        <v>8.3800000000000008</v>
      </c>
      <c r="AM53">
        <v>8.4700000000000006</v>
      </c>
      <c r="AN53">
        <v>8.31</v>
      </c>
      <c r="AO53">
        <v>8.3699999999999992</v>
      </c>
      <c r="AP53">
        <v>8.3699999999999992</v>
      </c>
      <c r="AQ53" s="2" t="s">
        <v>4099</v>
      </c>
      <c r="AT53" s="3">
        <v>42912</v>
      </c>
      <c r="AU53">
        <v>1.39</v>
      </c>
      <c r="AV53">
        <v>1.43</v>
      </c>
      <c r="AW53">
        <v>1.39</v>
      </c>
      <c r="AX53">
        <v>1.43</v>
      </c>
      <c r="AY53">
        <v>1.43</v>
      </c>
      <c r="AZ53" s="2" t="s">
        <v>4182</v>
      </c>
      <c r="BC53" s="3">
        <v>42909</v>
      </c>
      <c r="BD53">
        <v>1.8</v>
      </c>
      <c r="BE53">
        <v>1.81</v>
      </c>
      <c r="BF53">
        <v>1.76</v>
      </c>
      <c r="BG53">
        <v>1.81</v>
      </c>
      <c r="BH53">
        <v>1.81</v>
      </c>
      <c r="BI53" s="2" t="s">
        <v>4261</v>
      </c>
      <c r="BL53" s="3">
        <v>42912</v>
      </c>
      <c r="BM53">
        <v>9.11</v>
      </c>
      <c r="BN53">
        <v>9.1199999999999992</v>
      </c>
      <c r="BO53">
        <v>8.94</v>
      </c>
      <c r="BP53">
        <v>8.9700000000000006</v>
      </c>
      <c r="BQ53">
        <v>8.9700000000000006</v>
      </c>
      <c r="BR53" s="2" t="s">
        <v>4341</v>
      </c>
      <c r="BU53" s="3">
        <v>42912</v>
      </c>
      <c r="BV53">
        <v>1.1499999999999999</v>
      </c>
      <c r="BW53">
        <v>1.17</v>
      </c>
      <c r="BX53">
        <v>1.1499999999999999</v>
      </c>
      <c r="BY53">
        <v>1.17</v>
      </c>
      <c r="BZ53">
        <v>1.1599999999999999</v>
      </c>
      <c r="CA53" s="2" t="s">
        <v>4420</v>
      </c>
      <c r="CD53" s="3">
        <v>42912</v>
      </c>
      <c r="CE53">
        <v>6.41</v>
      </c>
      <c r="CF53">
        <v>6.47</v>
      </c>
      <c r="CG53">
        <v>6.38</v>
      </c>
      <c r="CH53">
        <v>6.4</v>
      </c>
      <c r="CI53">
        <v>6.4</v>
      </c>
      <c r="CJ53" s="2" t="s">
        <v>4494</v>
      </c>
      <c r="CM53" s="3">
        <v>42909</v>
      </c>
      <c r="CN53">
        <v>1.1599999999999999</v>
      </c>
      <c r="CO53">
        <v>1.17</v>
      </c>
      <c r="CP53">
        <v>1.1399999999999999</v>
      </c>
      <c r="CQ53">
        <v>1.1399999999999999</v>
      </c>
      <c r="CR53">
        <v>1.1399999999999999</v>
      </c>
      <c r="CS53" s="2" t="s">
        <v>4578</v>
      </c>
      <c r="CV53" s="3">
        <v>42912</v>
      </c>
      <c r="CW53">
        <v>12.3</v>
      </c>
      <c r="CX53">
        <v>12.48</v>
      </c>
      <c r="CY53">
        <v>12.3</v>
      </c>
      <c r="CZ53">
        <v>12.42</v>
      </c>
      <c r="DA53">
        <v>12.42</v>
      </c>
      <c r="DB53" s="2" t="s">
        <v>4661</v>
      </c>
    </row>
    <row r="54" spans="10:106" x14ac:dyDescent="0.4">
      <c r="J54" s="3">
        <v>42912</v>
      </c>
      <c r="K54">
        <v>0.73</v>
      </c>
      <c r="L54">
        <v>0.74</v>
      </c>
      <c r="M54">
        <v>0.73</v>
      </c>
      <c r="N54">
        <v>0.74</v>
      </c>
      <c r="O54">
        <v>0.74</v>
      </c>
      <c r="P54" s="2" t="s">
        <v>3859</v>
      </c>
      <c r="S54" s="3">
        <v>42913</v>
      </c>
      <c r="T54">
        <v>52.9</v>
      </c>
      <c r="U54">
        <v>53.8</v>
      </c>
      <c r="V54">
        <v>52.35</v>
      </c>
      <c r="W54">
        <v>53.6</v>
      </c>
      <c r="X54">
        <v>53.48</v>
      </c>
      <c r="Y54" s="2" t="s">
        <v>3932</v>
      </c>
      <c r="AB54" s="3">
        <v>42913</v>
      </c>
      <c r="AC54">
        <v>2.8</v>
      </c>
      <c r="AD54">
        <v>2.8</v>
      </c>
      <c r="AE54">
        <v>2.75</v>
      </c>
      <c r="AF54">
        <v>2.78</v>
      </c>
      <c r="AG54">
        <v>2.78</v>
      </c>
      <c r="AH54" s="2" t="s">
        <v>4015</v>
      </c>
      <c r="AK54" s="3">
        <v>42913</v>
      </c>
      <c r="AL54">
        <v>8.3800000000000008</v>
      </c>
      <c r="AM54">
        <v>8.52</v>
      </c>
      <c r="AN54">
        <v>8.3699999999999992</v>
      </c>
      <c r="AO54">
        <v>8.4600000000000009</v>
      </c>
      <c r="AP54">
        <v>8.4600000000000009</v>
      </c>
      <c r="AQ54" s="2" t="s">
        <v>4098</v>
      </c>
      <c r="AT54" s="3">
        <v>42913</v>
      </c>
      <c r="AU54">
        <v>1.41</v>
      </c>
      <c r="AV54">
        <v>1.43</v>
      </c>
      <c r="AW54">
        <v>1.39</v>
      </c>
      <c r="AX54">
        <v>1.4</v>
      </c>
      <c r="AY54">
        <v>1.4</v>
      </c>
      <c r="AZ54" s="2" t="s">
        <v>4181</v>
      </c>
      <c r="BC54" s="3">
        <v>42912</v>
      </c>
      <c r="BD54">
        <v>1.8</v>
      </c>
      <c r="BE54">
        <v>1.8</v>
      </c>
      <c r="BF54">
        <v>1.76</v>
      </c>
      <c r="BG54">
        <v>1.77</v>
      </c>
      <c r="BH54">
        <v>1.77</v>
      </c>
      <c r="BI54" s="2" t="s">
        <v>4260</v>
      </c>
      <c r="BL54" s="3">
        <v>42913</v>
      </c>
      <c r="BM54">
        <v>8.9700000000000006</v>
      </c>
      <c r="BN54">
        <v>9.06</v>
      </c>
      <c r="BO54">
        <v>8.85</v>
      </c>
      <c r="BP54">
        <v>9.06</v>
      </c>
      <c r="BQ54">
        <v>9.06</v>
      </c>
      <c r="BR54" s="2" t="s">
        <v>4340</v>
      </c>
      <c r="BU54" s="3">
        <v>42913</v>
      </c>
      <c r="BV54">
        <v>1.1599999999999999</v>
      </c>
      <c r="BW54">
        <v>1.17</v>
      </c>
      <c r="BX54">
        <v>1.1499999999999999</v>
      </c>
      <c r="BY54">
        <v>1.17</v>
      </c>
      <c r="BZ54">
        <v>1.1599999999999999</v>
      </c>
      <c r="CA54" s="2" t="s">
        <v>4419</v>
      </c>
      <c r="CD54" s="3">
        <v>42913</v>
      </c>
      <c r="CE54">
        <v>6.34</v>
      </c>
      <c r="CF54">
        <v>6.44</v>
      </c>
      <c r="CG54">
        <v>6.31</v>
      </c>
      <c r="CH54">
        <v>6.43</v>
      </c>
      <c r="CI54">
        <v>6.43</v>
      </c>
      <c r="CJ54" s="2" t="s">
        <v>4493</v>
      </c>
      <c r="CM54" s="3">
        <v>42912</v>
      </c>
      <c r="CN54">
        <v>1.1499999999999999</v>
      </c>
      <c r="CO54">
        <v>1.17</v>
      </c>
      <c r="CP54">
        <v>1.1399999999999999</v>
      </c>
      <c r="CQ54">
        <v>1.1599999999999999</v>
      </c>
      <c r="CR54">
        <v>1.1599999999999999</v>
      </c>
      <c r="CS54" s="2" t="s">
        <v>4577</v>
      </c>
      <c r="CV54" s="3">
        <v>42913</v>
      </c>
      <c r="CW54">
        <v>12.44</v>
      </c>
      <c r="CX54">
        <v>12.48</v>
      </c>
      <c r="CY54">
        <v>12.34</v>
      </c>
      <c r="CZ54">
        <v>12.44</v>
      </c>
      <c r="DA54">
        <v>12.44</v>
      </c>
      <c r="DB54" s="2" t="s">
        <v>4660</v>
      </c>
    </row>
    <row r="55" spans="10:106" x14ac:dyDescent="0.4">
      <c r="J55" s="3">
        <v>42913</v>
      </c>
      <c r="K55">
        <v>0.73</v>
      </c>
      <c r="L55">
        <v>0.74</v>
      </c>
      <c r="M55">
        <v>0.73</v>
      </c>
      <c r="N55">
        <v>0.73</v>
      </c>
      <c r="O55">
        <v>0.73</v>
      </c>
      <c r="P55" s="2" t="s">
        <v>3858</v>
      </c>
      <c r="S55" s="3">
        <v>42914</v>
      </c>
      <c r="T55">
        <v>53.6</v>
      </c>
      <c r="U55">
        <v>53.85</v>
      </c>
      <c r="V55">
        <v>52.5</v>
      </c>
      <c r="W55">
        <v>52.5</v>
      </c>
      <c r="X55">
        <v>52.38</v>
      </c>
      <c r="Y55" s="2" t="s">
        <v>3931</v>
      </c>
      <c r="AB55" s="3">
        <v>42914</v>
      </c>
      <c r="AC55">
        <v>2.76</v>
      </c>
      <c r="AD55">
        <v>2.84</v>
      </c>
      <c r="AE55">
        <v>2.75</v>
      </c>
      <c r="AF55">
        <v>2.84</v>
      </c>
      <c r="AG55">
        <v>2.84</v>
      </c>
      <c r="AH55" s="2" t="s">
        <v>4014</v>
      </c>
      <c r="AK55" s="3">
        <v>42914</v>
      </c>
      <c r="AL55">
        <v>8.4499999999999993</v>
      </c>
      <c r="AM55">
        <v>8.4499999999999993</v>
      </c>
      <c r="AN55">
        <v>8.2899999999999991</v>
      </c>
      <c r="AO55">
        <v>8.4</v>
      </c>
      <c r="AP55">
        <v>8.4</v>
      </c>
      <c r="AQ55" s="2" t="s">
        <v>4097</v>
      </c>
      <c r="AT55" s="3">
        <v>42914</v>
      </c>
      <c r="AU55">
        <v>1.39</v>
      </c>
      <c r="AV55">
        <v>1.41</v>
      </c>
      <c r="AW55">
        <v>1.37</v>
      </c>
      <c r="AX55">
        <v>1.39</v>
      </c>
      <c r="AY55">
        <v>1.39</v>
      </c>
      <c r="AZ55" s="2" t="s">
        <v>4180</v>
      </c>
      <c r="BC55" s="3">
        <v>42913</v>
      </c>
      <c r="BD55">
        <v>1.77</v>
      </c>
      <c r="BE55">
        <v>1.83</v>
      </c>
      <c r="BF55">
        <v>1.65</v>
      </c>
      <c r="BG55">
        <v>1.7</v>
      </c>
      <c r="BH55">
        <v>1.7</v>
      </c>
      <c r="BI55" s="2" t="s">
        <v>4259</v>
      </c>
      <c r="BL55" s="3">
        <v>42914</v>
      </c>
      <c r="BM55">
        <v>9.07</v>
      </c>
      <c r="BN55">
        <v>9.08</v>
      </c>
      <c r="BO55">
        <v>8.9600000000000009</v>
      </c>
      <c r="BP55">
        <v>8.9600000000000009</v>
      </c>
      <c r="BQ55">
        <v>8.9600000000000009</v>
      </c>
      <c r="BR55" s="2" t="s">
        <v>4339</v>
      </c>
      <c r="BU55" s="3">
        <v>42914</v>
      </c>
      <c r="BV55">
        <v>1.1599999999999999</v>
      </c>
      <c r="BW55">
        <v>1.27</v>
      </c>
      <c r="BX55">
        <v>1.1299999999999999</v>
      </c>
      <c r="BY55">
        <v>1.26</v>
      </c>
      <c r="BZ55">
        <v>1.24</v>
      </c>
      <c r="CA55" s="2" t="s">
        <v>4418</v>
      </c>
      <c r="CD55" s="3">
        <v>42914</v>
      </c>
      <c r="CE55">
        <v>6.4</v>
      </c>
      <c r="CF55">
        <v>6.4</v>
      </c>
      <c r="CG55">
        <v>6.3</v>
      </c>
      <c r="CH55">
        <v>6.34</v>
      </c>
      <c r="CI55">
        <v>6.34</v>
      </c>
      <c r="CJ55" s="2" t="s">
        <v>4492</v>
      </c>
      <c r="CM55" s="3">
        <v>42913</v>
      </c>
      <c r="CN55">
        <v>1.1499999999999999</v>
      </c>
      <c r="CO55">
        <v>1.1599999999999999</v>
      </c>
      <c r="CP55">
        <v>1.1399999999999999</v>
      </c>
      <c r="CQ55">
        <v>1.1599999999999999</v>
      </c>
      <c r="CR55">
        <v>1.1599999999999999</v>
      </c>
      <c r="CS55" s="2" t="s">
        <v>4576</v>
      </c>
      <c r="CV55" s="3">
        <v>42914</v>
      </c>
      <c r="CW55">
        <v>12.44</v>
      </c>
      <c r="CX55">
        <v>12.54</v>
      </c>
      <c r="CY55">
        <v>12.4</v>
      </c>
      <c r="CZ55">
        <v>12.4</v>
      </c>
      <c r="DA55">
        <v>12.4</v>
      </c>
      <c r="DB55" s="2" t="s">
        <v>4659</v>
      </c>
    </row>
    <row r="56" spans="10:106" x14ac:dyDescent="0.4">
      <c r="J56" s="3">
        <v>42914</v>
      </c>
      <c r="K56">
        <v>0.73</v>
      </c>
      <c r="L56">
        <v>0.73</v>
      </c>
      <c r="M56">
        <v>0.71</v>
      </c>
      <c r="N56">
        <v>0.71</v>
      </c>
      <c r="O56">
        <v>0.71</v>
      </c>
      <c r="P56" s="2" t="s">
        <v>3854</v>
      </c>
      <c r="S56" s="3">
        <v>42915</v>
      </c>
      <c r="T56">
        <v>52.95</v>
      </c>
      <c r="U56">
        <v>54.65</v>
      </c>
      <c r="V56">
        <v>52.7</v>
      </c>
      <c r="W56">
        <v>54</v>
      </c>
      <c r="X56">
        <v>53.88</v>
      </c>
      <c r="Y56" s="2" t="s">
        <v>3930</v>
      </c>
      <c r="AB56" s="3">
        <v>42915</v>
      </c>
      <c r="AC56">
        <v>2.84</v>
      </c>
      <c r="AD56">
        <v>2.85</v>
      </c>
      <c r="AE56">
        <v>2.8</v>
      </c>
      <c r="AF56">
        <v>2.81</v>
      </c>
      <c r="AG56">
        <v>2.81</v>
      </c>
      <c r="AH56" s="2" t="s">
        <v>4013</v>
      </c>
      <c r="AK56" s="3">
        <v>42915</v>
      </c>
      <c r="AL56">
        <v>8.43</v>
      </c>
      <c r="AM56">
        <v>8.4700000000000006</v>
      </c>
      <c r="AN56">
        <v>8.32</v>
      </c>
      <c r="AO56">
        <v>8.3699999999999992</v>
      </c>
      <c r="AP56">
        <v>8.3699999999999992</v>
      </c>
      <c r="AQ56" s="2" t="s">
        <v>4096</v>
      </c>
      <c r="AT56" s="3">
        <v>42915</v>
      </c>
      <c r="AU56">
        <v>1.4</v>
      </c>
      <c r="AV56">
        <v>1.41</v>
      </c>
      <c r="AW56">
        <v>1.39</v>
      </c>
      <c r="AX56">
        <v>1.4</v>
      </c>
      <c r="AY56">
        <v>1.4</v>
      </c>
      <c r="AZ56" s="2" t="s">
        <v>4179</v>
      </c>
      <c r="BC56" s="3">
        <v>42914</v>
      </c>
      <c r="BD56">
        <v>1.73</v>
      </c>
      <c r="BE56">
        <v>1.76</v>
      </c>
      <c r="BF56">
        <v>1.72</v>
      </c>
      <c r="BG56">
        <v>1.75</v>
      </c>
      <c r="BH56">
        <v>1.75</v>
      </c>
      <c r="BI56" s="2" t="s">
        <v>4258</v>
      </c>
      <c r="BL56" s="3">
        <v>42915</v>
      </c>
      <c r="BM56">
        <v>8.9600000000000009</v>
      </c>
      <c r="BN56">
        <v>9.06</v>
      </c>
      <c r="BO56">
        <v>8.91</v>
      </c>
      <c r="BP56">
        <v>8.9700000000000006</v>
      </c>
      <c r="BQ56">
        <v>8.9700000000000006</v>
      </c>
      <c r="BR56" s="2" t="s">
        <v>4338</v>
      </c>
      <c r="BU56" s="3">
        <v>42915</v>
      </c>
      <c r="BV56">
        <v>1.27</v>
      </c>
      <c r="BW56">
        <v>1.28</v>
      </c>
      <c r="BX56">
        <v>1.2</v>
      </c>
      <c r="BY56">
        <v>1.22</v>
      </c>
      <c r="BZ56">
        <v>1.2</v>
      </c>
      <c r="CA56" s="2" t="s">
        <v>4417</v>
      </c>
      <c r="CD56" s="3">
        <v>42915</v>
      </c>
      <c r="CE56">
        <v>6.35</v>
      </c>
      <c r="CF56">
        <v>6.37</v>
      </c>
      <c r="CG56">
        <v>6.31</v>
      </c>
      <c r="CH56">
        <v>6.34</v>
      </c>
      <c r="CI56">
        <v>6.34</v>
      </c>
      <c r="CJ56" s="2" t="s">
        <v>4491</v>
      </c>
      <c r="CM56" s="3">
        <v>42914</v>
      </c>
      <c r="CN56">
        <v>1.1599999999999999</v>
      </c>
      <c r="CO56">
        <v>1.1599999999999999</v>
      </c>
      <c r="CP56">
        <v>1.1399999999999999</v>
      </c>
      <c r="CQ56">
        <v>1.1599999999999999</v>
      </c>
      <c r="CR56">
        <v>1.1599999999999999</v>
      </c>
      <c r="CS56" s="2" t="s">
        <v>4575</v>
      </c>
      <c r="CV56" s="3">
        <v>42915</v>
      </c>
      <c r="CW56">
        <v>12.48</v>
      </c>
      <c r="CX56">
        <v>12.56</v>
      </c>
      <c r="CY56">
        <v>12.48</v>
      </c>
      <c r="CZ56">
        <v>12.52</v>
      </c>
      <c r="DA56">
        <v>12.52</v>
      </c>
      <c r="DB56" s="2" t="s">
        <v>4658</v>
      </c>
    </row>
    <row r="57" spans="10:106" x14ac:dyDescent="0.4">
      <c r="J57" s="3">
        <v>42915</v>
      </c>
      <c r="K57">
        <v>0.71</v>
      </c>
      <c r="L57">
        <v>0.73</v>
      </c>
      <c r="M57">
        <v>0.69</v>
      </c>
      <c r="N57">
        <v>0.7</v>
      </c>
      <c r="O57">
        <v>0.7</v>
      </c>
      <c r="P57" s="2" t="s">
        <v>3857</v>
      </c>
      <c r="S57" s="3">
        <v>42916</v>
      </c>
      <c r="T57">
        <v>53.05</v>
      </c>
      <c r="U57">
        <v>57.65</v>
      </c>
      <c r="V57">
        <v>53.05</v>
      </c>
      <c r="W57">
        <v>56</v>
      </c>
      <c r="X57">
        <v>55.87</v>
      </c>
      <c r="Y57" s="2" t="s">
        <v>3929</v>
      </c>
      <c r="AB57" s="3">
        <v>42916</v>
      </c>
      <c r="AC57">
        <v>2.79</v>
      </c>
      <c r="AD57">
        <v>2.84</v>
      </c>
      <c r="AE57">
        <v>2.78</v>
      </c>
      <c r="AF57">
        <v>2.84</v>
      </c>
      <c r="AG57">
        <v>2.84</v>
      </c>
      <c r="AH57" s="2" t="s">
        <v>4012</v>
      </c>
      <c r="AK57" s="3">
        <v>42916</v>
      </c>
      <c r="AL57">
        <v>8.2899999999999991</v>
      </c>
      <c r="AM57">
        <v>8.31</v>
      </c>
      <c r="AN57">
        <v>8.1999999999999993</v>
      </c>
      <c r="AO57">
        <v>8.23</v>
      </c>
      <c r="AP57">
        <v>8.23</v>
      </c>
      <c r="AQ57" s="2" t="s">
        <v>4095</v>
      </c>
      <c r="AT57" s="3">
        <v>42916</v>
      </c>
      <c r="AU57">
        <v>1.39</v>
      </c>
      <c r="AV57">
        <v>1.42</v>
      </c>
      <c r="AW57">
        <v>1.37</v>
      </c>
      <c r="AX57">
        <v>1.41</v>
      </c>
      <c r="AY57">
        <v>1.41</v>
      </c>
      <c r="AZ57" s="2" t="s">
        <v>4178</v>
      </c>
      <c r="BC57" s="3">
        <v>42915</v>
      </c>
      <c r="BD57">
        <v>1.76</v>
      </c>
      <c r="BE57">
        <v>1.83</v>
      </c>
      <c r="BF57">
        <v>1.73</v>
      </c>
      <c r="BG57">
        <v>1.78</v>
      </c>
      <c r="BH57">
        <v>1.78</v>
      </c>
      <c r="BI57" s="2" t="s">
        <v>4257</v>
      </c>
      <c r="BL57" s="3">
        <v>42916</v>
      </c>
      <c r="BM57">
        <v>8.9499999999999993</v>
      </c>
      <c r="BN57">
        <v>9.16</v>
      </c>
      <c r="BO57">
        <v>8.91</v>
      </c>
      <c r="BP57">
        <v>9.16</v>
      </c>
      <c r="BQ57">
        <v>9.16</v>
      </c>
      <c r="BR57" s="2" t="s">
        <v>4337</v>
      </c>
      <c r="BU57" s="3">
        <v>42916</v>
      </c>
      <c r="BV57">
        <v>1.22</v>
      </c>
      <c r="BW57">
        <v>1.23</v>
      </c>
      <c r="BX57">
        <v>1.2</v>
      </c>
      <c r="BY57">
        <v>1.22</v>
      </c>
      <c r="BZ57">
        <v>1.2</v>
      </c>
      <c r="CA57" s="2" t="s">
        <v>4416</v>
      </c>
      <c r="CD57" s="3">
        <v>42916</v>
      </c>
      <c r="CE57">
        <v>6.32</v>
      </c>
      <c r="CF57">
        <v>6.4</v>
      </c>
      <c r="CG57">
        <v>6.29</v>
      </c>
      <c r="CH57">
        <v>6.39</v>
      </c>
      <c r="CI57">
        <v>6.39</v>
      </c>
      <c r="CJ57" s="2" t="s">
        <v>4490</v>
      </c>
      <c r="CM57" s="3">
        <v>42915</v>
      </c>
      <c r="CN57">
        <v>1.1499999999999999</v>
      </c>
      <c r="CO57">
        <v>1.17</v>
      </c>
      <c r="CP57">
        <v>1.1499999999999999</v>
      </c>
      <c r="CQ57">
        <v>1.1599999999999999</v>
      </c>
      <c r="CR57">
        <v>1.1599999999999999</v>
      </c>
      <c r="CS57" s="2" t="s">
        <v>4574</v>
      </c>
      <c r="CV57" s="3">
        <v>42916</v>
      </c>
      <c r="CW57">
        <v>12.44</v>
      </c>
      <c r="CX57">
        <v>12.56</v>
      </c>
      <c r="CY57">
        <v>12.44</v>
      </c>
      <c r="CZ57">
        <v>12.54</v>
      </c>
      <c r="DA57">
        <v>12.54</v>
      </c>
      <c r="DB57" s="2" t="s">
        <v>4657</v>
      </c>
    </row>
    <row r="58" spans="10:106" x14ac:dyDescent="0.4">
      <c r="J58" s="3">
        <v>42916</v>
      </c>
      <c r="K58">
        <v>0.71</v>
      </c>
      <c r="L58">
        <v>0.72</v>
      </c>
      <c r="M58">
        <v>0.69</v>
      </c>
      <c r="N58">
        <v>0.7</v>
      </c>
      <c r="O58">
        <v>0.7</v>
      </c>
      <c r="P58" s="2" t="s">
        <v>3856</v>
      </c>
      <c r="S58" s="3">
        <v>42919</v>
      </c>
      <c r="T58">
        <v>57.95</v>
      </c>
      <c r="U58">
        <v>58.8</v>
      </c>
      <c r="V58">
        <v>56.75</v>
      </c>
      <c r="W58">
        <v>57.15</v>
      </c>
      <c r="X58">
        <v>57.02</v>
      </c>
      <c r="Y58" s="2" t="s">
        <v>3928</v>
      </c>
      <c r="AB58" s="3">
        <v>42919</v>
      </c>
      <c r="AC58">
        <v>2.84</v>
      </c>
      <c r="AD58">
        <v>2.88</v>
      </c>
      <c r="AE58">
        <v>2.83</v>
      </c>
      <c r="AF58">
        <v>2.86</v>
      </c>
      <c r="AG58">
        <v>2.86</v>
      </c>
      <c r="AH58" s="2" t="s">
        <v>4011</v>
      </c>
      <c r="AK58" s="3">
        <v>42919</v>
      </c>
      <c r="AL58">
        <v>8.2100000000000009</v>
      </c>
      <c r="AM58">
        <v>8.2100000000000009</v>
      </c>
      <c r="AN58">
        <v>8.07</v>
      </c>
      <c r="AO58">
        <v>8.18</v>
      </c>
      <c r="AP58">
        <v>8.18</v>
      </c>
      <c r="AQ58" s="2" t="s">
        <v>4094</v>
      </c>
      <c r="AT58" s="3">
        <v>42919</v>
      </c>
      <c r="AU58">
        <v>1.41</v>
      </c>
      <c r="AV58">
        <v>1.46</v>
      </c>
      <c r="AW58">
        <v>1.4</v>
      </c>
      <c r="AX58">
        <v>1.46</v>
      </c>
      <c r="AY58">
        <v>1.46</v>
      </c>
      <c r="AZ58" s="2" t="s">
        <v>4177</v>
      </c>
      <c r="BC58" s="3">
        <v>42916</v>
      </c>
      <c r="BD58">
        <v>1.79</v>
      </c>
      <c r="BE58">
        <v>1.84</v>
      </c>
      <c r="BF58">
        <v>1.73</v>
      </c>
      <c r="BG58">
        <v>1.78</v>
      </c>
      <c r="BH58">
        <v>1.78</v>
      </c>
      <c r="BI58" s="2" t="s">
        <v>4256</v>
      </c>
      <c r="BL58" s="3">
        <v>42919</v>
      </c>
      <c r="BM58">
        <v>9.1300000000000008</v>
      </c>
      <c r="BN58">
        <v>9.16</v>
      </c>
      <c r="BO58">
        <v>9.11</v>
      </c>
      <c r="BP58">
        <v>9.15</v>
      </c>
      <c r="BQ58">
        <v>9.15</v>
      </c>
      <c r="BR58" s="2" t="s">
        <v>4336</v>
      </c>
      <c r="BU58" s="3">
        <v>42919</v>
      </c>
      <c r="BV58">
        <v>1.22</v>
      </c>
      <c r="BW58">
        <v>1.24</v>
      </c>
      <c r="BX58">
        <v>1.22</v>
      </c>
      <c r="BY58">
        <v>1.23</v>
      </c>
      <c r="BZ58">
        <v>1.21</v>
      </c>
      <c r="CA58" s="2" t="s">
        <v>4415</v>
      </c>
      <c r="CD58" s="3">
        <v>42919</v>
      </c>
      <c r="CE58">
        <v>6.35</v>
      </c>
      <c r="CF58">
        <v>6.38</v>
      </c>
      <c r="CG58">
        <v>6.27</v>
      </c>
      <c r="CH58">
        <v>6.31</v>
      </c>
      <c r="CI58">
        <v>6.31</v>
      </c>
      <c r="CJ58" s="2" t="s">
        <v>4489</v>
      </c>
      <c r="CM58" s="3">
        <v>42916</v>
      </c>
      <c r="CN58">
        <v>1.1599999999999999</v>
      </c>
      <c r="CO58">
        <v>1.21</v>
      </c>
      <c r="CP58">
        <v>1.1499999999999999</v>
      </c>
      <c r="CQ58">
        <v>1.18</v>
      </c>
      <c r="CR58">
        <v>1.18</v>
      </c>
      <c r="CS58" s="2" t="s">
        <v>4573</v>
      </c>
      <c r="CV58" s="3">
        <v>42919</v>
      </c>
      <c r="CW58">
        <v>12.52</v>
      </c>
      <c r="CX58">
        <v>12.54</v>
      </c>
      <c r="CY58">
        <v>12.4</v>
      </c>
      <c r="CZ58">
        <v>12.42</v>
      </c>
      <c r="DA58">
        <v>12.42</v>
      </c>
      <c r="DB58" s="2" t="s">
        <v>4656</v>
      </c>
    </row>
    <row r="59" spans="10:106" x14ac:dyDescent="0.4">
      <c r="J59" s="3">
        <v>42919</v>
      </c>
      <c r="K59">
        <v>0.7</v>
      </c>
      <c r="L59">
        <v>0.71</v>
      </c>
      <c r="M59">
        <v>0.7</v>
      </c>
      <c r="N59">
        <v>0.71</v>
      </c>
      <c r="O59">
        <v>0.71</v>
      </c>
      <c r="P59" s="2" t="s">
        <v>3855</v>
      </c>
      <c r="S59" s="3">
        <v>42920</v>
      </c>
      <c r="T59">
        <v>57</v>
      </c>
      <c r="U59">
        <v>57.5</v>
      </c>
      <c r="V59">
        <v>54.7</v>
      </c>
      <c r="W59">
        <v>54.7</v>
      </c>
      <c r="X59">
        <v>54.57</v>
      </c>
      <c r="Y59" s="2" t="s">
        <v>3927</v>
      </c>
      <c r="AB59" s="3">
        <v>42920</v>
      </c>
      <c r="AC59">
        <v>2.88</v>
      </c>
      <c r="AD59">
        <v>2.9</v>
      </c>
      <c r="AE59">
        <v>2.83</v>
      </c>
      <c r="AF59">
        <v>2.86</v>
      </c>
      <c r="AG59">
        <v>2.86</v>
      </c>
      <c r="AH59" s="2" t="s">
        <v>4010</v>
      </c>
      <c r="AK59" s="3">
        <v>42920</v>
      </c>
      <c r="AL59">
        <v>8.1</v>
      </c>
      <c r="AM59">
        <v>8.17</v>
      </c>
      <c r="AN59">
        <v>7.75</v>
      </c>
      <c r="AO59">
        <v>7.75</v>
      </c>
      <c r="AP59">
        <v>7.75</v>
      </c>
      <c r="AQ59" s="2" t="s">
        <v>4093</v>
      </c>
      <c r="AT59" s="3">
        <v>42920</v>
      </c>
      <c r="AU59">
        <v>1.45</v>
      </c>
      <c r="AV59">
        <v>1.46</v>
      </c>
      <c r="AW59">
        <v>1.41</v>
      </c>
      <c r="AX59">
        <v>1.41</v>
      </c>
      <c r="AY59">
        <v>1.41</v>
      </c>
      <c r="AZ59" s="2" t="s">
        <v>4176</v>
      </c>
      <c r="BC59" s="3">
        <v>42919</v>
      </c>
      <c r="BD59">
        <v>1.78</v>
      </c>
      <c r="BE59">
        <v>1.78</v>
      </c>
      <c r="BF59">
        <v>1.76</v>
      </c>
      <c r="BG59">
        <v>1.77</v>
      </c>
      <c r="BH59">
        <v>1.77</v>
      </c>
      <c r="BI59" s="2" t="s">
        <v>3855</v>
      </c>
      <c r="BL59" s="3">
        <v>42920</v>
      </c>
      <c r="BM59">
        <v>9.0500000000000007</v>
      </c>
      <c r="BN59">
        <v>9.11</v>
      </c>
      <c r="BO59">
        <v>8.91</v>
      </c>
      <c r="BP59">
        <v>8.94</v>
      </c>
      <c r="BQ59">
        <v>8.94</v>
      </c>
      <c r="BR59" s="2" t="s">
        <v>4335</v>
      </c>
      <c r="BU59" s="3">
        <v>42920</v>
      </c>
      <c r="BV59">
        <v>1.23</v>
      </c>
      <c r="BW59">
        <v>1.23</v>
      </c>
      <c r="BX59">
        <v>1.19</v>
      </c>
      <c r="BY59">
        <v>1.2</v>
      </c>
      <c r="BZ59">
        <v>1.18</v>
      </c>
      <c r="CA59" s="2" t="s">
        <v>4414</v>
      </c>
      <c r="CD59" s="3">
        <v>42920</v>
      </c>
      <c r="CE59">
        <v>6.28</v>
      </c>
      <c r="CF59">
        <v>6.31</v>
      </c>
      <c r="CG59">
        <v>6.21</v>
      </c>
      <c r="CH59">
        <v>6.28</v>
      </c>
      <c r="CI59">
        <v>6.28</v>
      </c>
      <c r="CJ59" s="2" t="s">
        <v>4488</v>
      </c>
      <c r="CM59" s="3">
        <v>42919</v>
      </c>
      <c r="CN59">
        <v>1.2</v>
      </c>
      <c r="CO59">
        <v>1.2</v>
      </c>
      <c r="CP59">
        <v>1.1599999999999999</v>
      </c>
      <c r="CQ59">
        <v>1.18</v>
      </c>
      <c r="CR59">
        <v>1.18</v>
      </c>
      <c r="CS59" s="2" t="s">
        <v>4572</v>
      </c>
      <c r="CV59" s="3">
        <v>42920</v>
      </c>
      <c r="CW59">
        <v>12.42</v>
      </c>
      <c r="CX59">
        <v>12.42</v>
      </c>
      <c r="CY59">
        <v>12.24</v>
      </c>
      <c r="CZ59">
        <v>12.28</v>
      </c>
      <c r="DA59">
        <v>12.28</v>
      </c>
      <c r="DB59" s="2" t="s">
        <v>4655</v>
      </c>
    </row>
    <row r="60" spans="10:106" x14ac:dyDescent="0.4">
      <c r="J60" s="3">
        <v>42920</v>
      </c>
      <c r="K60">
        <v>0.71</v>
      </c>
      <c r="L60">
        <v>0.71</v>
      </c>
      <c r="M60">
        <v>0.69</v>
      </c>
      <c r="N60">
        <v>0.7</v>
      </c>
      <c r="O60">
        <v>0.7</v>
      </c>
      <c r="P60" s="2" t="s">
        <v>3854</v>
      </c>
      <c r="S60" s="3">
        <v>42921</v>
      </c>
      <c r="T60">
        <v>54.95</v>
      </c>
      <c r="U60">
        <v>57.75</v>
      </c>
      <c r="V60">
        <v>54.95</v>
      </c>
      <c r="W60">
        <v>56.95</v>
      </c>
      <c r="X60">
        <v>56.82</v>
      </c>
      <c r="Y60" s="2" t="s">
        <v>3926</v>
      </c>
      <c r="AB60" s="3">
        <v>42921</v>
      </c>
      <c r="AC60">
        <v>2.87</v>
      </c>
      <c r="AD60">
        <v>2.87</v>
      </c>
      <c r="AE60">
        <v>2.82</v>
      </c>
      <c r="AF60">
        <v>2.86</v>
      </c>
      <c r="AG60">
        <v>2.86</v>
      </c>
      <c r="AH60" s="2" t="s">
        <v>4009</v>
      </c>
      <c r="AK60" s="3">
        <v>42921</v>
      </c>
      <c r="AL60">
        <v>7.75</v>
      </c>
      <c r="AM60">
        <v>7.96</v>
      </c>
      <c r="AN60">
        <v>7.73</v>
      </c>
      <c r="AO60">
        <v>7.88</v>
      </c>
      <c r="AP60">
        <v>7.88</v>
      </c>
      <c r="AQ60" s="2" t="s">
        <v>4092</v>
      </c>
      <c r="AT60" s="3">
        <v>42921</v>
      </c>
      <c r="AU60">
        <v>1.42</v>
      </c>
      <c r="AV60">
        <v>1.44</v>
      </c>
      <c r="AW60">
        <v>1.4</v>
      </c>
      <c r="AX60">
        <v>1.42</v>
      </c>
      <c r="AY60">
        <v>1.42</v>
      </c>
      <c r="AZ60" s="2" t="s">
        <v>4175</v>
      </c>
      <c r="BC60" s="3">
        <v>42920</v>
      </c>
      <c r="BD60">
        <v>1.76</v>
      </c>
      <c r="BE60">
        <v>1.77</v>
      </c>
      <c r="BF60">
        <v>1.72</v>
      </c>
      <c r="BG60">
        <v>1.77</v>
      </c>
      <c r="BH60">
        <v>1.77</v>
      </c>
      <c r="BI60" s="2" t="s">
        <v>4255</v>
      </c>
      <c r="BL60" s="3">
        <v>42921</v>
      </c>
      <c r="BM60">
        <v>8.93</v>
      </c>
      <c r="BN60">
        <v>8.93</v>
      </c>
      <c r="BO60">
        <v>8.81</v>
      </c>
      <c r="BP60">
        <v>8.89</v>
      </c>
      <c r="BQ60">
        <v>8.89</v>
      </c>
      <c r="BR60" s="2" t="s">
        <v>4334</v>
      </c>
      <c r="BU60" s="3">
        <v>42921</v>
      </c>
      <c r="BV60">
        <v>1.2</v>
      </c>
      <c r="BW60">
        <v>1.2</v>
      </c>
      <c r="BX60">
        <v>1.1599999999999999</v>
      </c>
      <c r="BY60">
        <v>1.18</v>
      </c>
      <c r="BZ60">
        <v>1.1599999999999999</v>
      </c>
      <c r="CA60" s="2" t="s">
        <v>4413</v>
      </c>
      <c r="CD60" s="3">
        <v>42921</v>
      </c>
      <c r="CE60">
        <v>6.3</v>
      </c>
      <c r="CF60">
        <v>6.3</v>
      </c>
      <c r="CG60">
        <v>6.18</v>
      </c>
      <c r="CH60">
        <v>6.22</v>
      </c>
      <c r="CI60">
        <v>6.22</v>
      </c>
      <c r="CJ60" s="2" t="s">
        <v>4487</v>
      </c>
      <c r="CM60" s="3">
        <v>42920</v>
      </c>
      <c r="CN60">
        <v>1.18</v>
      </c>
      <c r="CO60">
        <v>1.18</v>
      </c>
      <c r="CP60">
        <v>1.1499999999999999</v>
      </c>
      <c r="CQ60">
        <v>1.1599999999999999</v>
      </c>
      <c r="CR60">
        <v>1.1599999999999999</v>
      </c>
      <c r="CS60" s="2" t="s">
        <v>4571</v>
      </c>
      <c r="CV60" s="3">
        <v>42921</v>
      </c>
      <c r="CW60">
        <v>12.28</v>
      </c>
      <c r="CX60">
        <v>12.52</v>
      </c>
      <c r="CY60">
        <v>12.26</v>
      </c>
      <c r="CZ60">
        <v>12.52</v>
      </c>
      <c r="DA60">
        <v>12.52</v>
      </c>
      <c r="DB60" s="2" t="s">
        <v>4654</v>
      </c>
    </row>
    <row r="61" spans="10:106" x14ac:dyDescent="0.4">
      <c r="J61" s="3">
        <v>42921</v>
      </c>
      <c r="K61">
        <v>0.68</v>
      </c>
      <c r="L61">
        <v>0.7</v>
      </c>
      <c r="M61">
        <v>0.66</v>
      </c>
      <c r="N61">
        <v>0.68</v>
      </c>
      <c r="O61">
        <v>0.68</v>
      </c>
      <c r="P61" s="2" t="s">
        <v>3853</v>
      </c>
      <c r="S61" s="3">
        <v>42922</v>
      </c>
      <c r="T61">
        <v>56.6</v>
      </c>
      <c r="U61">
        <v>57.5</v>
      </c>
      <c r="V61">
        <v>56.35</v>
      </c>
      <c r="W61">
        <v>57.1</v>
      </c>
      <c r="X61">
        <v>56.97</v>
      </c>
      <c r="Y61" s="2" t="s">
        <v>3925</v>
      </c>
      <c r="AB61" s="3">
        <v>42922</v>
      </c>
      <c r="AC61">
        <v>2.9</v>
      </c>
      <c r="AD61">
        <v>2.92</v>
      </c>
      <c r="AE61">
        <v>2.85</v>
      </c>
      <c r="AF61">
        <v>2.86</v>
      </c>
      <c r="AG61">
        <v>2.86</v>
      </c>
      <c r="AH61" s="2" t="s">
        <v>4008</v>
      </c>
      <c r="AK61" s="3">
        <v>42922</v>
      </c>
      <c r="AL61">
        <v>7.89</v>
      </c>
      <c r="AM61">
        <v>7.97</v>
      </c>
      <c r="AN61">
        <v>7.87</v>
      </c>
      <c r="AO61">
        <v>7.91</v>
      </c>
      <c r="AP61">
        <v>7.91</v>
      </c>
      <c r="AQ61" s="2" t="s">
        <v>4091</v>
      </c>
      <c r="AT61" s="3">
        <v>42922</v>
      </c>
      <c r="AU61">
        <v>1.43</v>
      </c>
      <c r="AV61">
        <v>1.43</v>
      </c>
      <c r="AW61">
        <v>1.39</v>
      </c>
      <c r="AX61">
        <v>1.4</v>
      </c>
      <c r="AY61">
        <v>1.4</v>
      </c>
      <c r="AZ61" s="2" t="s">
        <v>4174</v>
      </c>
      <c r="BC61" s="3">
        <v>42921</v>
      </c>
      <c r="BD61">
        <v>1.76</v>
      </c>
      <c r="BE61">
        <v>1.79</v>
      </c>
      <c r="BF61">
        <v>1.75</v>
      </c>
      <c r="BG61">
        <v>1.77</v>
      </c>
      <c r="BH61">
        <v>1.77</v>
      </c>
      <c r="BI61" s="2" t="s">
        <v>3863</v>
      </c>
      <c r="BL61" s="3">
        <v>42922</v>
      </c>
      <c r="BM61">
        <v>8.85</v>
      </c>
      <c r="BN61">
        <v>8.89</v>
      </c>
      <c r="BO61">
        <v>8.8000000000000007</v>
      </c>
      <c r="BP61">
        <v>8.86</v>
      </c>
      <c r="BQ61">
        <v>8.86</v>
      </c>
      <c r="BR61" s="2" t="s">
        <v>4333</v>
      </c>
      <c r="BU61" s="3">
        <v>42922</v>
      </c>
      <c r="BV61">
        <v>1.18</v>
      </c>
      <c r="BW61">
        <v>1.2</v>
      </c>
      <c r="BX61">
        <v>1.18</v>
      </c>
      <c r="BY61">
        <v>1.2</v>
      </c>
      <c r="BZ61">
        <v>1.18</v>
      </c>
      <c r="CA61" s="2" t="s">
        <v>4286</v>
      </c>
      <c r="CD61" s="3">
        <v>42922</v>
      </c>
      <c r="CE61">
        <v>6.23</v>
      </c>
      <c r="CF61">
        <v>6.23</v>
      </c>
      <c r="CG61">
        <v>6.15</v>
      </c>
      <c r="CH61">
        <v>6.2</v>
      </c>
      <c r="CI61">
        <v>6.2</v>
      </c>
      <c r="CJ61" s="2" t="s">
        <v>4486</v>
      </c>
      <c r="CM61" s="3">
        <v>42921</v>
      </c>
      <c r="CN61">
        <v>1.17</v>
      </c>
      <c r="CO61">
        <v>1.18</v>
      </c>
      <c r="CP61">
        <v>1.1599999999999999</v>
      </c>
      <c r="CQ61">
        <v>1.17</v>
      </c>
      <c r="CR61">
        <v>1.17</v>
      </c>
      <c r="CS61" s="2" t="s">
        <v>4570</v>
      </c>
      <c r="CV61" s="3">
        <v>42922</v>
      </c>
      <c r="CW61">
        <v>12.5</v>
      </c>
      <c r="CX61">
        <v>12.56</v>
      </c>
      <c r="CY61">
        <v>12.44</v>
      </c>
      <c r="CZ61">
        <v>12.54</v>
      </c>
      <c r="DA61">
        <v>12.54</v>
      </c>
      <c r="DB61" s="2" t="s">
        <v>4653</v>
      </c>
    </row>
    <row r="62" spans="10:106" x14ac:dyDescent="0.4">
      <c r="J62" s="3">
        <v>42922</v>
      </c>
      <c r="K62">
        <v>0.68</v>
      </c>
      <c r="L62">
        <v>0.68</v>
      </c>
      <c r="M62">
        <v>0.67</v>
      </c>
      <c r="N62">
        <v>0.68</v>
      </c>
      <c r="O62">
        <v>0.68</v>
      </c>
      <c r="P62" s="2" t="s">
        <v>3852</v>
      </c>
      <c r="S62" s="3">
        <v>42923</v>
      </c>
      <c r="T62">
        <v>58.3</v>
      </c>
      <c r="U62">
        <v>61</v>
      </c>
      <c r="V62">
        <v>58.1</v>
      </c>
      <c r="W62">
        <v>60</v>
      </c>
      <c r="X62">
        <v>59.86</v>
      </c>
      <c r="Y62" s="2" t="s">
        <v>3924</v>
      </c>
      <c r="AB62" s="3">
        <v>42923</v>
      </c>
      <c r="AC62">
        <v>2.86</v>
      </c>
      <c r="AD62">
        <v>2.87</v>
      </c>
      <c r="AE62">
        <v>2.84</v>
      </c>
      <c r="AF62">
        <v>2.85</v>
      </c>
      <c r="AG62">
        <v>2.85</v>
      </c>
      <c r="AH62" s="2" t="s">
        <v>4007</v>
      </c>
      <c r="AK62" s="3">
        <v>42923</v>
      </c>
      <c r="AL62">
        <v>7.9</v>
      </c>
      <c r="AM62">
        <v>7.9</v>
      </c>
      <c r="AN62">
        <v>7.81</v>
      </c>
      <c r="AO62">
        <v>7.88</v>
      </c>
      <c r="AP62">
        <v>7.88</v>
      </c>
      <c r="AQ62" s="2" t="s">
        <v>4090</v>
      </c>
      <c r="AT62" s="3">
        <v>42923</v>
      </c>
      <c r="AU62">
        <v>1.4</v>
      </c>
      <c r="AV62">
        <v>1.4</v>
      </c>
      <c r="AW62">
        <v>1.38</v>
      </c>
      <c r="AX62">
        <v>1.39</v>
      </c>
      <c r="AY62">
        <v>1.39</v>
      </c>
      <c r="AZ62" s="2" t="s">
        <v>4173</v>
      </c>
      <c r="BC62" s="3">
        <v>42922</v>
      </c>
      <c r="BD62">
        <v>1.79</v>
      </c>
      <c r="BE62">
        <v>1.79</v>
      </c>
      <c r="BF62">
        <v>1.73</v>
      </c>
      <c r="BG62">
        <v>1.78</v>
      </c>
      <c r="BH62">
        <v>1.78</v>
      </c>
      <c r="BI62" s="2" t="s">
        <v>4254</v>
      </c>
      <c r="BL62" s="3">
        <v>42923</v>
      </c>
      <c r="BM62">
        <v>8.8800000000000008</v>
      </c>
      <c r="BN62">
        <v>8.94</v>
      </c>
      <c r="BO62">
        <v>8.84</v>
      </c>
      <c r="BP62">
        <v>8.85</v>
      </c>
      <c r="BQ62">
        <v>8.85</v>
      </c>
      <c r="BR62" s="2" t="s">
        <v>4332</v>
      </c>
      <c r="BU62" s="3">
        <v>42923</v>
      </c>
      <c r="BV62">
        <v>1.2</v>
      </c>
      <c r="BW62">
        <v>1.21</v>
      </c>
      <c r="BX62">
        <v>1.2</v>
      </c>
      <c r="BY62">
        <v>1.21</v>
      </c>
      <c r="BZ62">
        <v>1.19</v>
      </c>
      <c r="CA62" s="2" t="s">
        <v>4412</v>
      </c>
      <c r="CD62" s="3">
        <v>42923</v>
      </c>
      <c r="CE62">
        <v>6.2</v>
      </c>
      <c r="CF62">
        <v>6.22</v>
      </c>
      <c r="CG62">
        <v>6.13</v>
      </c>
      <c r="CH62">
        <v>6.18</v>
      </c>
      <c r="CI62">
        <v>6.18</v>
      </c>
      <c r="CJ62" s="2" t="s">
        <v>4485</v>
      </c>
      <c r="CM62" s="3">
        <v>42922</v>
      </c>
      <c r="CN62">
        <v>1.1599999999999999</v>
      </c>
      <c r="CO62">
        <v>1.17</v>
      </c>
      <c r="CP62">
        <v>1.1499999999999999</v>
      </c>
      <c r="CQ62">
        <v>1.17</v>
      </c>
      <c r="CR62">
        <v>1.17</v>
      </c>
      <c r="CS62" s="2" t="s">
        <v>4569</v>
      </c>
      <c r="CV62" s="3">
        <v>42923</v>
      </c>
      <c r="CW62">
        <v>12.5</v>
      </c>
      <c r="CX62">
        <v>12.54</v>
      </c>
      <c r="CY62">
        <v>12.44</v>
      </c>
      <c r="CZ62">
        <v>12.44</v>
      </c>
      <c r="DA62">
        <v>12.44</v>
      </c>
      <c r="DB62" s="2" t="s">
        <v>4652</v>
      </c>
    </row>
    <row r="63" spans="10:106" x14ac:dyDescent="0.4">
      <c r="J63" s="3">
        <v>42923</v>
      </c>
      <c r="K63">
        <v>0.68</v>
      </c>
      <c r="L63">
        <v>0.71</v>
      </c>
      <c r="M63">
        <v>0.68</v>
      </c>
      <c r="N63">
        <v>0.69</v>
      </c>
      <c r="O63">
        <v>0.69</v>
      </c>
      <c r="P63" s="2" t="s">
        <v>3851</v>
      </c>
      <c r="S63" s="3">
        <v>42926</v>
      </c>
      <c r="T63">
        <v>74.5</v>
      </c>
      <c r="U63">
        <v>75</v>
      </c>
      <c r="V63">
        <v>70.2</v>
      </c>
      <c r="W63">
        <v>72</v>
      </c>
      <c r="X63">
        <v>71.83</v>
      </c>
      <c r="Y63" s="2" t="s">
        <v>3923</v>
      </c>
      <c r="AB63" s="3">
        <v>42926</v>
      </c>
      <c r="AC63">
        <v>2.86</v>
      </c>
      <c r="AD63">
        <v>2.87</v>
      </c>
      <c r="AE63">
        <v>2.8</v>
      </c>
      <c r="AF63">
        <v>2.86</v>
      </c>
      <c r="AG63">
        <v>2.86</v>
      </c>
      <c r="AH63" s="2" t="s">
        <v>4006</v>
      </c>
      <c r="AK63" s="3">
        <v>42926</v>
      </c>
      <c r="AL63">
        <v>7.89</v>
      </c>
      <c r="AM63">
        <v>8.02</v>
      </c>
      <c r="AN63">
        <v>7.82</v>
      </c>
      <c r="AO63">
        <v>7.85</v>
      </c>
      <c r="AP63">
        <v>7.85</v>
      </c>
      <c r="AQ63" s="2" t="s">
        <v>4089</v>
      </c>
      <c r="AT63" s="3">
        <v>42926</v>
      </c>
      <c r="AU63">
        <v>1.41</v>
      </c>
      <c r="AV63">
        <v>1.53</v>
      </c>
      <c r="AW63">
        <v>1.4</v>
      </c>
      <c r="AX63">
        <v>1.52</v>
      </c>
      <c r="AY63">
        <v>1.52</v>
      </c>
      <c r="AZ63" s="2" t="s">
        <v>4172</v>
      </c>
      <c r="BC63" s="3">
        <v>42923</v>
      </c>
      <c r="BD63">
        <v>1.76</v>
      </c>
      <c r="BE63">
        <v>1.78</v>
      </c>
      <c r="BF63">
        <v>1.72</v>
      </c>
      <c r="BG63">
        <v>1.76</v>
      </c>
      <c r="BH63">
        <v>1.76</v>
      </c>
      <c r="BI63" s="2" t="s">
        <v>4253</v>
      </c>
      <c r="BL63" s="3">
        <v>42926</v>
      </c>
      <c r="BM63">
        <v>8.93</v>
      </c>
      <c r="BN63">
        <v>9.2100000000000009</v>
      </c>
      <c r="BO63">
        <v>8.8699999999999992</v>
      </c>
      <c r="BP63">
        <v>9.1</v>
      </c>
      <c r="BQ63">
        <v>9.1</v>
      </c>
      <c r="BR63" s="2" t="s">
        <v>4331</v>
      </c>
      <c r="BU63" s="3">
        <v>42926</v>
      </c>
      <c r="BV63">
        <v>1.22</v>
      </c>
      <c r="BW63">
        <v>1.22</v>
      </c>
      <c r="BX63">
        <v>1.2</v>
      </c>
      <c r="BY63">
        <v>1.21</v>
      </c>
      <c r="BZ63">
        <v>1.19</v>
      </c>
      <c r="CA63" s="2" t="s">
        <v>4411</v>
      </c>
      <c r="CD63" s="3">
        <v>42926</v>
      </c>
      <c r="CE63">
        <v>6.15</v>
      </c>
      <c r="CF63">
        <v>6.21</v>
      </c>
      <c r="CG63">
        <v>6.1</v>
      </c>
      <c r="CH63">
        <v>6.15</v>
      </c>
      <c r="CI63">
        <v>6.15</v>
      </c>
      <c r="CJ63" s="2" t="s">
        <v>4484</v>
      </c>
      <c r="CM63" s="3">
        <v>42923</v>
      </c>
      <c r="CN63">
        <v>1.1599999999999999</v>
      </c>
      <c r="CO63">
        <v>1.17</v>
      </c>
      <c r="CP63">
        <v>1.1499999999999999</v>
      </c>
      <c r="CQ63">
        <v>1.1599999999999999</v>
      </c>
      <c r="CR63">
        <v>1.1599999999999999</v>
      </c>
      <c r="CS63" s="2" t="s">
        <v>4568</v>
      </c>
      <c r="CV63" s="3">
        <v>42926</v>
      </c>
      <c r="CW63">
        <v>12.5</v>
      </c>
      <c r="CX63">
        <v>12.56</v>
      </c>
      <c r="CY63">
        <v>12.44</v>
      </c>
      <c r="CZ63">
        <v>12.52</v>
      </c>
      <c r="DA63">
        <v>12.52</v>
      </c>
      <c r="DB63" s="2" t="s">
        <v>4651</v>
      </c>
    </row>
    <row r="64" spans="10:106" x14ac:dyDescent="0.4">
      <c r="J64" s="3">
        <v>42926</v>
      </c>
      <c r="K64">
        <v>0.68</v>
      </c>
      <c r="L64">
        <v>0.71</v>
      </c>
      <c r="M64">
        <v>0.68</v>
      </c>
      <c r="N64">
        <v>0.69</v>
      </c>
      <c r="O64">
        <v>0.69</v>
      </c>
      <c r="P64" s="2" t="s">
        <v>3850</v>
      </c>
      <c r="S64" s="3">
        <v>42927</v>
      </c>
      <c r="T64">
        <v>72.25</v>
      </c>
      <c r="U64">
        <v>72.349999999999994</v>
      </c>
      <c r="V64">
        <v>71.5</v>
      </c>
      <c r="W64">
        <v>71.650000000000006</v>
      </c>
      <c r="X64">
        <v>71.48</v>
      </c>
      <c r="Y64" s="2" t="s">
        <v>3922</v>
      </c>
      <c r="AB64" s="3">
        <v>42927</v>
      </c>
      <c r="AC64">
        <v>2.86</v>
      </c>
      <c r="AD64">
        <v>2.88</v>
      </c>
      <c r="AE64">
        <v>2.83</v>
      </c>
      <c r="AF64">
        <v>2.88</v>
      </c>
      <c r="AG64">
        <v>2.88</v>
      </c>
      <c r="AH64" s="2" t="s">
        <v>4005</v>
      </c>
      <c r="AK64" s="3">
        <v>42927</v>
      </c>
      <c r="AL64">
        <v>7.86</v>
      </c>
      <c r="AM64">
        <v>7.93</v>
      </c>
      <c r="AN64">
        <v>7.82</v>
      </c>
      <c r="AO64">
        <v>7.88</v>
      </c>
      <c r="AP64">
        <v>7.88</v>
      </c>
      <c r="AQ64" s="2" t="s">
        <v>4088</v>
      </c>
      <c r="AT64" s="3">
        <v>42927</v>
      </c>
      <c r="AU64">
        <v>1.52</v>
      </c>
      <c r="AV64">
        <v>1.59</v>
      </c>
      <c r="AW64">
        <v>1.51</v>
      </c>
      <c r="AX64">
        <v>1.56</v>
      </c>
      <c r="AY64">
        <v>1.56</v>
      </c>
      <c r="AZ64" s="2" t="s">
        <v>4171</v>
      </c>
      <c r="BC64" s="3">
        <v>42926</v>
      </c>
      <c r="BD64">
        <v>1.76</v>
      </c>
      <c r="BE64">
        <v>1.79</v>
      </c>
      <c r="BF64">
        <v>1.74</v>
      </c>
      <c r="BG64">
        <v>1.76</v>
      </c>
      <c r="BH64">
        <v>1.76</v>
      </c>
      <c r="BI64" s="2" t="s">
        <v>4252</v>
      </c>
      <c r="BL64" s="3">
        <v>42927</v>
      </c>
      <c r="BM64">
        <v>9.0399999999999991</v>
      </c>
      <c r="BN64">
        <v>9.08</v>
      </c>
      <c r="BO64">
        <v>8.9700000000000006</v>
      </c>
      <c r="BP64">
        <v>9.0500000000000007</v>
      </c>
      <c r="BQ64">
        <v>9.0500000000000007</v>
      </c>
      <c r="BR64" s="2" t="s">
        <v>4330</v>
      </c>
      <c r="BU64" s="3">
        <v>42927</v>
      </c>
      <c r="BV64">
        <v>1.22</v>
      </c>
      <c r="BW64">
        <v>1.22</v>
      </c>
      <c r="BX64">
        <v>1.21</v>
      </c>
      <c r="BY64">
        <v>1.22</v>
      </c>
      <c r="BZ64">
        <v>1.2</v>
      </c>
      <c r="CA64" s="2" t="s">
        <v>4393</v>
      </c>
      <c r="CD64" s="3">
        <v>42927</v>
      </c>
      <c r="CE64">
        <v>6.15</v>
      </c>
      <c r="CF64">
        <v>6.22</v>
      </c>
      <c r="CG64">
        <v>6.12</v>
      </c>
      <c r="CH64">
        <v>6.21</v>
      </c>
      <c r="CI64">
        <v>6.21</v>
      </c>
      <c r="CJ64" s="2" t="s">
        <v>4483</v>
      </c>
      <c r="CM64" s="3">
        <v>42926</v>
      </c>
      <c r="CN64">
        <v>1.1599999999999999</v>
      </c>
      <c r="CO64">
        <v>1.18</v>
      </c>
      <c r="CP64">
        <v>1.1499999999999999</v>
      </c>
      <c r="CQ64">
        <v>1.1499999999999999</v>
      </c>
      <c r="CR64">
        <v>1.1499999999999999</v>
      </c>
      <c r="CS64" s="2" t="s">
        <v>4567</v>
      </c>
      <c r="CV64" s="3">
        <v>42927</v>
      </c>
      <c r="CW64">
        <v>12.54</v>
      </c>
      <c r="CX64">
        <v>12.76</v>
      </c>
      <c r="CY64">
        <v>12.52</v>
      </c>
      <c r="CZ64">
        <v>12.68</v>
      </c>
      <c r="DA64">
        <v>12.68</v>
      </c>
      <c r="DB64" s="2" t="s">
        <v>4650</v>
      </c>
    </row>
    <row r="65" spans="10:106" x14ac:dyDescent="0.4">
      <c r="J65" s="3">
        <v>42927</v>
      </c>
      <c r="K65">
        <v>0.68</v>
      </c>
      <c r="L65">
        <v>0.69</v>
      </c>
      <c r="M65">
        <v>0.68</v>
      </c>
      <c r="N65">
        <v>0.7</v>
      </c>
      <c r="O65">
        <v>0.7</v>
      </c>
      <c r="P65" s="2" t="s">
        <v>3849</v>
      </c>
      <c r="S65" s="3">
        <v>42928</v>
      </c>
      <c r="T65">
        <v>71.650000000000006</v>
      </c>
      <c r="U65">
        <v>72</v>
      </c>
      <c r="V65">
        <v>71.55</v>
      </c>
      <c r="W65">
        <v>71.55</v>
      </c>
      <c r="X65">
        <v>71.38</v>
      </c>
      <c r="Y65" s="2" t="s">
        <v>3921</v>
      </c>
      <c r="AB65" s="3">
        <v>42928</v>
      </c>
      <c r="AC65">
        <v>2.86</v>
      </c>
      <c r="AD65">
        <v>2.89</v>
      </c>
      <c r="AE65">
        <v>2.85</v>
      </c>
      <c r="AF65">
        <v>2.85</v>
      </c>
      <c r="AG65">
        <v>2.85</v>
      </c>
      <c r="AH65" s="2" t="s">
        <v>4004</v>
      </c>
      <c r="AK65" s="3">
        <v>42928</v>
      </c>
      <c r="AL65">
        <v>7.88</v>
      </c>
      <c r="AM65">
        <v>7.94</v>
      </c>
      <c r="AN65">
        <v>7.76</v>
      </c>
      <c r="AO65">
        <v>7.84</v>
      </c>
      <c r="AP65">
        <v>7.84</v>
      </c>
      <c r="AQ65" s="2" t="s">
        <v>4087</v>
      </c>
      <c r="AT65" s="3">
        <v>42928</v>
      </c>
      <c r="AU65">
        <v>1.65</v>
      </c>
      <c r="AV65">
        <v>1.69</v>
      </c>
      <c r="AW65">
        <v>1.6</v>
      </c>
      <c r="AX65">
        <v>1.64</v>
      </c>
      <c r="AY65">
        <v>1.64</v>
      </c>
      <c r="AZ65" s="2" t="s">
        <v>4170</v>
      </c>
      <c r="BC65" s="3">
        <v>42927</v>
      </c>
      <c r="BD65">
        <v>1.76</v>
      </c>
      <c r="BE65">
        <v>1.8</v>
      </c>
      <c r="BF65">
        <v>1.76</v>
      </c>
      <c r="BG65">
        <v>1.76</v>
      </c>
      <c r="BH65">
        <v>1.76</v>
      </c>
      <c r="BI65" s="2" t="s">
        <v>4251</v>
      </c>
      <c r="BL65" s="3">
        <v>42928</v>
      </c>
      <c r="BM65">
        <v>8.98</v>
      </c>
      <c r="BN65">
        <v>9.15</v>
      </c>
      <c r="BO65">
        <v>8.84</v>
      </c>
      <c r="BP65">
        <v>8.9499999999999993</v>
      </c>
      <c r="BQ65">
        <v>8.9499999999999993</v>
      </c>
      <c r="BR65" s="2" t="s">
        <v>4329</v>
      </c>
      <c r="BU65" s="3">
        <v>42928</v>
      </c>
      <c r="BV65">
        <v>1.2</v>
      </c>
      <c r="BW65">
        <v>1.22</v>
      </c>
      <c r="BX65">
        <v>1.2</v>
      </c>
      <c r="BY65">
        <v>1.21</v>
      </c>
      <c r="BZ65">
        <v>1.19</v>
      </c>
      <c r="CA65" s="2" t="s">
        <v>4410</v>
      </c>
      <c r="CD65" s="3">
        <v>42928</v>
      </c>
      <c r="CE65">
        <v>6.21</v>
      </c>
      <c r="CF65">
        <v>6.28</v>
      </c>
      <c r="CG65">
        <v>6.18</v>
      </c>
      <c r="CH65">
        <v>6.18</v>
      </c>
      <c r="CI65">
        <v>6.18</v>
      </c>
      <c r="CJ65" s="2" t="s">
        <v>4482</v>
      </c>
      <c r="CM65" s="3">
        <v>42927</v>
      </c>
      <c r="CN65">
        <v>1.1599999999999999</v>
      </c>
      <c r="CO65">
        <v>1.18</v>
      </c>
      <c r="CP65">
        <v>1.1499999999999999</v>
      </c>
      <c r="CQ65">
        <v>1.17</v>
      </c>
      <c r="CR65">
        <v>1.17</v>
      </c>
      <c r="CS65" s="2" t="s">
        <v>4566</v>
      </c>
      <c r="CV65" s="3">
        <v>42928</v>
      </c>
      <c r="CW65">
        <v>12.68</v>
      </c>
      <c r="CX65">
        <v>12.86</v>
      </c>
      <c r="CY65">
        <v>12.6</v>
      </c>
      <c r="CZ65">
        <v>12.66</v>
      </c>
      <c r="DA65">
        <v>12.66</v>
      </c>
      <c r="DB65" s="2" t="s">
        <v>4649</v>
      </c>
    </row>
    <row r="66" spans="10:106" x14ac:dyDescent="0.4">
      <c r="J66" s="3">
        <v>42928</v>
      </c>
      <c r="K66">
        <v>0.68</v>
      </c>
      <c r="L66">
        <v>0.68</v>
      </c>
      <c r="M66">
        <v>0.68</v>
      </c>
      <c r="N66">
        <v>0.68</v>
      </c>
      <c r="O66">
        <v>0.68</v>
      </c>
      <c r="P66" s="2" t="s">
        <v>3840</v>
      </c>
      <c r="S66" s="3">
        <v>42929</v>
      </c>
      <c r="T66">
        <v>71.7</v>
      </c>
      <c r="U66">
        <v>72</v>
      </c>
      <c r="V66">
        <v>71.55</v>
      </c>
      <c r="W66">
        <v>72</v>
      </c>
      <c r="X66">
        <v>71.83</v>
      </c>
      <c r="Y66" s="2" t="s">
        <v>3920</v>
      </c>
      <c r="AB66" s="3">
        <v>42929</v>
      </c>
      <c r="AC66">
        <v>2.86</v>
      </c>
      <c r="AD66">
        <v>2.87</v>
      </c>
      <c r="AE66">
        <v>2.83</v>
      </c>
      <c r="AF66">
        <v>2.83</v>
      </c>
      <c r="AG66">
        <v>2.83</v>
      </c>
      <c r="AH66" s="2" t="s">
        <v>4003</v>
      </c>
      <c r="AK66" s="3">
        <v>42929</v>
      </c>
      <c r="AL66">
        <v>7.87</v>
      </c>
      <c r="AM66">
        <v>8</v>
      </c>
      <c r="AN66">
        <v>7.77</v>
      </c>
      <c r="AO66">
        <v>7.98</v>
      </c>
      <c r="AP66">
        <v>7.98</v>
      </c>
      <c r="AQ66" s="2" t="s">
        <v>4086</v>
      </c>
      <c r="AT66" s="3">
        <v>42929</v>
      </c>
      <c r="AU66">
        <v>1.64</v>
      </c>
      <c r="AV66">
        <v>1.65</v>
      </c>
      <c r="AW66">
        <v>1.62</v>
      </c>
      <c r="AX66">
        <v>1.64</v>
      </c>
      <c r="AY66">
        <v>1.64</v>
      </c>
      <c r="AZ66" s="2" t="s">
        <v>4169</v>
      </c>
      <c r="BC66" s="3">
        <v>42928</v>
      </c>
      <c r="BD66">
        <v>1.74</v>
      </c>
      <c r="BE66">
        <v>1.78</v>
      </c>
      <c r="BF66">
        <v>1.73</v>
      </c>
      <c r="BG66">
        <v>1.76</v>
      </c>
      <c r="BH66">
        <v>1.76</v>
      </c>
      <c r="BI66" s="2" t="s">
        <v>4250</v>
      </c>
      <c r="BL66" s="3">
        <v>42929</v>
      </c>
      <c r="BM66">
        <v>8.93</v>
      </c>
      <c r="BN66">
        <v>9.14</v>
      </c>
      <c r="BO66">
        <v>8.93</v>
      </c>
      <c r="BP66">
        <v>9.14</v>
      </c>
      <c r="BQ66">
        <v>9.14</v>
      </c>
      <c r="BR66" s="2" t="s">
        <v>4328</v>
      </c>
      <c r="BU66" s="3">
        <v>42929</v>
      </c>
      <c r="BV66">
        <v>1.22</v>
      </c>
      <c r="BW66">
        <v>1.22</v>
      </c>
      <c r="BX66">
        <v>1.2</v>
      </c>
      <c r="BY66">
        <v>1.21</v>
      </c>
      <c r="BZ66">
        <v>1.19</v>
      </c>
      <c r="CA66" s="2" t="s">
        <v>4409</v>
      </c>
      <c r="CD66" s="3">
        <v>42929</v>
      </c>
      <c r="CE66">
        <v>6.2</v>
      </c>
      <c r="CF66">
        <v>6.34</v>
      </c>
      <c r="CG66">
        <v>6.2</v>
      </c>
      <c r="CH66">
        <v>6.27</v>
      </c>
      <c r="CI66">
        <v>6.27</v>
      </c>
      <c r="CJ66" s="2" t="s">
        <v>4481</v>
      </c>
      <c r="CM66" s="3">
        <v>42928</v>
      </c>
      <c r="CN66">
        <v>1.17</v>
      </c>
      <c r="CO66">
        <v>1.17</v>
      </c>
      <c r="CP66">
        <v>1.1499999999999999</v>
      </c>
      <c r="CQ66">
        <v>1.1599999999999999</v>
      </c>
      <c r="CR66">
        <v>1.1599999999999999</v>
      </c>
      <c r="CS66" s="2" t="s">
        <v>4565</v>
      </c>
      <c r="CV66" s="3">
        <v>42929</v>
      </c>
      <c r="CW66">
        <v>12.7</v>
      </c>
      <c r="CX66">
        <v>12.88</v>
      </c>
      <c r="CY66">
        <v>12.68</v>
      </c>
      <c r="CZ66">
        <v>12.88</v>
      </c>
      <c r="DA66">
        <v>12.88</v>
      </c>
      <c r="DB66" s="2" t="s">
        <v>4648</v>
      </c>
    </row>
    <row r="67" spans="10:106" x14ac:dyDescent="0.4">
      <c r="J67" s="3">
        <v>42929</v>
      </c>
      <c r="K67">
        <v>0.67</v>
      </c>
      <c r="L67">
        <v>0.69</v>
      </c>
      <c r="M67">
        <v>0.67</v>
      </c>
      <c r="N67">
        <v>0.69</v>
      </c>
      <c r="O67">
        <v>0.69</v>
      </c>
      <c r="P67" s="2" t="s">
        <v>3848</v>
      </c>
      <c r="S67" s="3">
        <v>42930</v>
      </c>
      <c r="T67">
        <v>72.05</v>
      </c>
      <c r="U67">
        <v>72.45</v>
      </c>
      <c r="V67">
        <v>71.7</v>
      </c>
      <c r="W67">
        <v>72.45</v>
      </c>
      <c r="X67">
        <v>72.28</v>
      </c>
      <c r="Y67" s="2" t="s">
        <v>3919</v>
      </c>
      <c r="AB67" s="3">
        <v>42930</v>
      </c>
      <c r="AC67">
        <v>2.85</v>
      </c>
      <c r="AD67">
        <v>2.89</v>
      </c>
      <c r="AE67">
        <v>2.83</v>
      </c>
      <c r="AF67">
        <v>2.86</v>
      </c>
      <c r="AG67">
        <v>2.86</v>
      </c>
      <c r="AH67" s="2" t="s">
        <v>4002</v>
      </c>
      <c r="AK67" s="3">
        <v>42930</v>
      </c>
      <c r="AL67">
        <v>7.95</v>
      </c>
      <c r="AM67">
        <v>8</v>
      </c>
      <c r="AN67">
        <v>7.91</v>
      </c>
      <c r="AO67">
        <v>7.92</v>
      </c>
      <c r="AP67">
        <v>7.92</v>
      </c>
      <c r="AQ67" s="2" t="s">
        <v>4085</v>
      </c>
      <c r="AT67" s="3">
        <v>42930</v>
      </c>
      <c r="AU67">
        <v>1.64</v>
      </c>
      <c r="AV67">
        <v>1.67</v>
      </c>
      <c r="AW67">
        <v>1.64</v>
      </c>
      <c r="AX67">
        <v>1.66</v>
      </c>
      <c r="AY67">
        <v>1.66</v>
      </c>
      <c r="AZ67" s="2" t="s">
        <v>4168</v>
      </c>
      <c r="BC67" s="3">
        <v>42929</v>
      </c>
      <c r="BD67">
        <v>1.77</v>
      </c>
      <c r="BE67">
        <v>1.77</v>
      </c>
      <c r="BF67">
        <v>1.75</v>
      </c>
      <c r="BG67">
        <v>1.75</v>
      </c>
      <c r="BH67">
        <v>1.75</v>
      </c>
      <c r="BI67" s="2" t="s">
        <v>4249</v>
      </c>
      <c r="BL67" s="3">
        <v>42930</v>
      </c>
      <c r="BM67">
        <v>9.24</v>
      </c>
      <c r="BN67">
        <v>9.49</v>
      </c>
      <c r="BO67">
        <v>9.1</v>
      </c>
      <c r="BP67">
        <v>9.25</v>
      </c>
      <c r="BQ67">
        <v>9.25</v>
      </c>
      <c r="BR67" s="2" t="s">
        <v>4327</v>
      </c>
      <c r="BU67" s="3">
        <v>42930</v>
      </c>
      <c r="BV67">
        <v>1.2</v>
      </c>
      <c r="BW67">
        <v>1.22</v>
      </c>
      <c r="BX67">
        <v>1.2</v>
      </c>
      <c r="BY67">
        <v>1.21</v>
      </c>
      <c r="BZ67">
        <v>1.19</v>
      </c>
      <c r="CA67" s="2" t="s">
        <v>4408</v>
      </c>
      <c r="CD67" s="3">
        <v>42930</v>
      </c>
      <c r="CE67">
        <v>6.26</v>
      </c>
      <c r="CF67">
        <v>6.3</v>
      </c>
      <c r="CG67">
        <v>6.2</v>
      </c>
      <c r="CH67">
        <v>6.27</v>
      </c>
      <c r="CI67">
        <v>6.27</v>
      </c>
      <c r="CJ67" s="2" t="s">
        <v>4480</v>
      </c>
      <c r="CM67" s="3">
        <v>42929</v>
      </c>
      <c r="CN67">
        <v>1.1599999999999999</v>
      </c>
      <c r="CO67">
        <v>1.17</v>
      </c>
      <c r="CP67">
        <v>1.1399999999999999</v>
      </c>
      <c r="CQ67">
        <v>1.1599999999999999</v>
      </c>
      <c r="CR67">
        <v>1.1599999999999999</v>
      </c>
      <c r="CS67" s="2" t="s">
        <v>4564</v>
      </c>
      <c r="CV67" s="3">
        <v>42930</v>
      </c>
      <c r="CW67">
        <v>12.88</v>
      </c>
      <c r="CX67">
        <v>13</v>
      </c>
      <c r="CY67">
        <v>12.84</v>
      </c>
      <c r="CZ67">
        <v>12.96</v>
      </c>
      <c r="DA67">
        <v>12.96</v>
      </c>
      <c r="DB67" s="2" t="s">
        <v>4647</v>
      </c>
    </row>
    <row r="68" spans="10:106" x14ac:dyDescent="0.4">
      <c r="J68" s="3">
        <v>42930</v>
      </c>
      <c r="K68">
        <v>0.67</v>
      </c>
      <c r="L68">
        <v>0.67</v>
      </c>
      <c r="M68">
        <v>0.67</v>
      </c>
      <c r="N68">
        <v>0.68</v>
      </c>
      <c r="O68">
        <v>0.68</v>
      </c>
      <c r="P68" s="2" t="s">
        <v>3847</v>
      </c>
      <c r="S68" s="3">
        <v>42933</v>
      </c>
      <c r="T68">
        <v>72.5</v>
      </c>
      <c r="U68">
        <v>72.849999999999994</v>
      </c>
      <c r="V68">
        <v>71.849999999999994</v>
      </c>
      <c r="W68">
        <v>72.75</v>
      </c>
      <c r="X68">
        <v>72.58</v>
      </c>
      <c r="Y68" s="2" t="s">
        <v>3918</v>
      </c>
      <c r="AB68" s="3">
        <v>42933</v>
      </c>
      <c r="AC68">
        <v>2.86</v>
      </c>
      <c r="AD68">
        <v>2.88</v>
      </c>
      <c r="AE68">
        <v>2.83</v>
      </c>
      <c r="AF68">
        <v>2.84</v>
      </c>
      <c r="AG68">
        <v>2.84</v>
      </c>
      <c r="AH68" s="2" t="s">
        <v>4001</v>
      </c>
      <c r="AK68" s="3">
        <v>42933</v>
      </c>
      <c r="AL68">
        <v>7.93</v>
      </c>
      <c r="AM68">
        <v>7.97</v>
      </c>
      <c r="AN68">
        <v>7.66</v>
      </c>
      <c r="AO68">
        <v>7.72</v>
      </c>
      <c r="AP68">
        <v>7.72</v>
      </c>
      <c r="AQ68" s="2" t="s">
        <v>4084</v>
      </c>
      <c r="AT68" s="3">
        <v>42933</v>
      </c>
      <c r="AU68">
        <v>1.68</v>
      </c>
      <c r="AV68">
        <v>1.71</v>
      </c>
      <c r="AW68">
        <v>1.65</v>
      </c>
      <c r="AX68">
        <v>1.68</v>
      </c>
      <c r="AY68">
        <v>1.68</v>
      </c>
      <c r="AZ68" s="2" t="s">
        <v>4167</v>
      </c>
      <c r="BC68" s="3">
        <v>42930</v>
      </c>
      <c r="BD68">
        <v>1.73</v>
      </c>
      <c r="BE68">
        <v>1.78</v>
      </c>
      <c r="BF68">
        <v>1.73</v>
      </c>
      <c r="BG68">
        <v>1.78</v>
      </c>
      <c r="BH68">
        <v>1.78</v>
      </c>
      <c r="BI68" s="2" t="s">
        <v>4248</v>
      </c>
      <c r="BL68" s="3">
        <v>42933</v>
      </c>
      <c r="BM68">
        <v>9.3800000000000008</v>
      </c>
      <c r="BN68">
        <v>9.9499999999999993</v>
      </c>
      <c r="BO68">
        <v>9.3800000000000008</v>
      </c>
      <c r="BP68">
        <v>9.82</v>
      </c>
      <c r="BQ68">
        <v>9.82</v>
      </c>
      <c r="BR68" s="2" t="s">
        <v>4326</v>
      </c>
      <c r="BU68" s="3">
        <v>42933</v>
      </c>
      <c r="BV68">
        <v>1.2</v>
      </c>
      <c r="BW68">
        <v>1.23</v>
      </c>
      <c r="BX68">
        <v>1.2</v>
      </c>
      <c r="BY68">
        <v>1.23</v>
      </c>
      <c r="BZ68">
        <v>1.21</v>
      </c>
      <c r="CA68" s="2" t="s">
        <v>4407</v>
      </c>
      <c r="CD68" s="3">
        <v>42933</v>
      </c>
      <c r="CE68">
        <v>6.31</v>
      </c>
      <c r="CF68">
        <v>6.34</v>
      </c>
      <c r="CG68">
        <v>6.19</v>
      </c>
      <c r="CH68">
        <v>6.21</v>
      </c>
      <c r="CI68">
        <v>6.21</v>
      </c>
      <c r="CJ68" s="2" t="s">
        <v>4479</v>
      </c>
      <c r="CM68" s="3">
        <v>42930</v>
      </c>
      <c r="CN68">
        <v>1.1499999999999999</v>
      </c>
      <c r="CO68">
        <v>1.1599999999999999</v>
      </c>
      <c r="CP68">
        <v>1.1299999999999999</v>
      </c>
      <c r="CQ68">
        <v>1.1399999999999999</v>
      </c>
      <c r="CR68">
        <v>1.1399999999999999</v>
      </c>
      <c r="CS68" s="2" t="s">
        <v>4563</v>
      </c>
      <c r="CV68" s="3">
        <v>42933</v>
      </c>
      <c r="CW68">
        <v>13</v>
      </c>
      <c r="CX68">
        <v>13.16</v>
      </c>
      <c r="CY68">
        <v>12.86</v>
      </c>
      <c r="CZ68">
        <v>13</v>
      </c>
      <c r="DA68">
        <v>13</v>
      </c>
      <c r="DB68" s="2" t="s">
        <v>4646</v>
      </c>
    </row>
    <row r="69" spans="10:106" x14ac:dyDescent="0.4">
      <c r="J69" s="3">
        <v>42933</v>
      </c>
      <c r="K69">
        <v>0.68</v>
      </c>
      <c r="L69">
        <v>0.7</v>
      </c>
      <c r="M69">
        <v>0.68</v>
      </c>
      <c r="N69">
        <v>0.7</v>
      </c>
      <c r="O69">
        <v>0.7</v>
      </c>
      <c r="P69" s="2" t="s">
        <v>3846</v>
      </c>
      <c r="S69" s="3">
        <v>42934</v>
      </c>
      <c r="T69">
        <v>72.7</v>
      </c>
      <c r="U69">
        <v>73.05</v>
      </c>
      <c r="V69">
        <v>72.5</v>
      </c>
      <c r="W69">
        <v>73</v>
      </c>
      <c r="X69">
        <v>72.83</v>
      </c>
      <c r="Y69" s="2" t="s">
        <v>3917</v>
      </c>
      <c r="AB69" s="3">
        <v>42934</v>
      </c>
      <c r="AC69">
        <v>2.84</v>
      </c>
      <c r="AD69">
        <v>2.86</v>
      </c>
      <c r="AE69">
        <v>2.83</v>
      </c>
      <c r="AF69">
        <v>2.85</v>
      </c>
      <c r="AG69">
        <v>2.85</v>
      </c>
      <c r="AH69" s="2" t="s">
        <v>4000</v>
      </c>
      <c r="AK69" s="3">
        <v>42934</v>
      </c>
      <c r="AL69">
        <v>7.7</v>
      </c>
      <c r="AM69">
        <v>7.75</v>
      </c>
      <c r="AN69">
        <v>7.65</v>
      </c>
      <c r="AO69">
        <v>7.69</v>
      </c>
      <c r="AP69">
        <v>7.69</v>
      </c>
      <c r="AQ69" s="2" t="s">
        <v>4083</v>
      </c>
      <c r="AT69" s="3">
        <v>42934</v>
      </c>
      <c r="AU69">
        <v>1.68</v>
      </c>
      <c r="AV69">
        <v>1.69</v>
      </c>
      <c r="AW69">
        <v>1.64</v>
      </c>
      <c r="AX69">
        <v>1.66</v>
      </c>
      <c r="AY69">
        <v>1.66</v>
      </c>
      <c r="AZ69" s="2" t="s">
        <v>4166</v>
      </c>
      <c r="BC69" s="3">
        <v>42933</v>
      </c>
      <c r="BD69">
        <v>1.76</v>
      </c>
      <c r="BE69">
        <v>1.78</v>
      </c>
      <c r="BF69">
        <v>1.75</v>
      </c>
      <c r="BG69">
        <v>1.75</v>
      </c>
      <c r="BH69">
        <v>1.75</v>
      </c>
      <c r="BI69" s="2" t="s">
        <v>4247</v>
      </c>
      <c r="BL69" s="3">
        <v>42934</v>
      </c>
      <c r="BM69">
        <v>9.91</v>
      </c>
      <c r="BN69">
        <v>9.92</v>
      </c>
      <c r="BO69">
        <v>9.67</v>
      </c>
      <c r="BP69">
        <v>9.73</v>
      </c>
      <c r="BQ69">
        <v>9.73</v>
      </c>
      <c r="BR69" s="2" t="s">
        <v>4325</v>
      </c>
      <c r="BU69" s="3">
        <v>42934</v>
      </c>
      <c r="BV69">
        <v>1.21</v>
      </c>
      <c r="BW69">
        <v>1.23</v>
      </c>
      <c r="BX69">
        <v>1.21</v>
      </c>
      <c r="BY69">
        <v>1.23</v>
      </c>
      <c r="BZ69">
        <v>1.21</v>
      </c>
      <c r="CA69" s="2" t="s">
        <v>4406</v>
      </c>
      <c r="CD69" s="3">
        <v>42934</v>
      </c>
      <c r="CE69">
        <v>6.21</v>
      </c>
      <c r="CF69">
        <v>6.44</v>
      </c>
      <c r="CG69">
        <v>6.21</v>
      </c>
      <c r="CH69">
        <v>6.39</v>
      </c>
      <c r="CI69">
        <v>6.39</v>
      </c>
      <c r="CJ69" s="2" t="s">
        <v>4478</v>
      </c>
      <c r="CM69" s="3">
        <v>42933</v>
      </c>
      <c r="CN69">
        <v>1.1399999999999999</v>
      </c>
      <c r="CO69">
        <v>1.1499999999999999</v>
      </c>
      <c r="CP69">
        <v>1.1100000000000001</v>
      </c>
      <c r="CQ69">
        <v>1.1299999999999999</v>
      </c>
      <c r="CR69">
        <v>1.1299999999999999</v>
      </c>
      <c r="CS69" s="2" t="s">
        <v>4562</v>
      </c>
      <c r="CV69" s="3">
        <v>42934</v>
      </c>
      <c r="CW69">
        <v>13</v>
      </c>
      <c r="CX69">
        <v>13.06</v>
      </c>
      <c r="CY69">
        <v>12.88</v>
      </c>
      <c r="CZ69">
        <v>12.98</v>
      </c>
      <c r="DA69">
        <v>12.98</v>
      </c>
      <c r="DB69" s="2" t="s">
        <v>4645</v>
      </c>
    </row>
    <row r="70" spans="10:106" x14ac:dyDescent="0.4">
      <c r="J70" s="3">
        <v>42934</v>
      </c>
      <c r="K70">
        <v>0.69</v>
      </c>
      <c r="L70">
        <v>0.69</v>
      </c>
      <c r="M70">
        <v>0.68</v>
      </c>
      <c r="N70">
        <v>0.69</v>
      </c>
      <c r="O70">
        <v>0.69</v>
      </c>
      <c r="P70" s="2" t="s">
        <v>3845</v>
      </c>
      <c r="S70" s="3">
        <v>42935</v>
      </c>
      <c r="T70">
        <v>73</v>
      </c>
      <c r="U70">
        <v>73.05</v>
      </c>
      <c r="V70">
        <v>72.8</v>
      </c>
      <c r="W70">
        <v>73</v>
      </c>
      <c r="X70">
        <v>72.83</v>
      </c>
      <c r="Y70" s="2" t="s">
        <v>3916</v>
      </c>
      <c r="AB70" s="3">
        <v>42935</v>
      </c>
      <c r="AC70">
        <v>2.86</v>
      </c>
      <c r="AD70">
        <v>2.87</v>
      </c>
      <c r="AE70">
        <v>2.81</v>
      </c>
      <c r="AF70">
        <v>2.83</v>
      </c>
      <c r="AG70">
        <v>2.83</v>
      </c>
      <c r="AH70" s="2" t="s">
        <v>3999</v>
      </c>
      <c r="AK70" s="3">
        <v>42935</v>
      </c>
      <c r="AL70">
        <v>7.69</v>
      </c>
      <c r="AM70">
        <v>7.88</v>
      </c>
      <c r="AN70">
        <v>7.69</v>
      </c>
      <c r="AO70">
        <v>7.88</v>
      </c>
      <c r="AP70">
        <v>7.88</v>
      </c>
      <c r="AQ70" s="2" t="s">
        <v>4082</v>
      </c>
      <c r="AT70" s="3">
        <v>42935</v>
      </c>
      <c r="AU70">
        <v>1.67</v>
      </c>
      <c r="AV70">
        <v>1.75</v>
      </c>
      <c r="AW70">
        <v>1.65</v>
      </c>
      <c r="AX70">
        <v>1.74</v>
      </c>
      <c r="AY70">
        <v>1.74</v>
      </c>
      <c r="AZ70" s="2" t="s">
        <v>4165</v>
      </c>
      <c r="BC70" s="3">
        <v>42934</v>
      </c>
      <c r="BD70">
        <v>1.78</v>
      </c>
      <c r="BE70">
        <v>1.78</v>
      </c>
      <c r="BF70">
        <v>1.75</v>
      </c>
      <c r="BG70">
        <v>1.76</v>
      </c>
      <c r="BH70">
        <v>1.76</v>
      </c>
      <c r="BI70" s="2" t="s">
        <v>4246</v>
      </c>
      <c r="BL70" s="3">
        <v>42935</v>
      </c>
      <c r="BM70">
        <v>9.68</v>
      </c>
      <c r="BN70">
        <v>9.8000000000000007</v>
      </c>
      <c r="BO70">
        <v>9.65</v>
      </c>
      <c r="BP70">
        <v>9.66</v>
      </c>
      <c r="BQ70">
        <v>9.66</v>
      </c>
      <c r="BR70" s="2" t="s">
        <v>4324</v>
      </c>
      <c r="BU70" s="3">
        <v>42935</v>
      </c>
      <c r="BV70">
        <v>1.23</v>
      </c>
      <c r="BW70">
        <v>1.24</v>
      </c>
      <c r="BX70">
        <v>1.22</v>
      </c>
      <c r="BY70">
        <v>1.24</v>
      </c>
      <c r="BZ70">
        <v>1.22</v>
      </c>
      <c r="CA70" s="2" t="s">
        <v>4405</v>
      </c>
      <c r="CD70" s="3">
        <v>42935</v>
      </c>
      <c r="CE70">
        <v>6.41</v>
      </c>
      <c r="CF70">
        <v>6.5</v>
      </c>
      <c r="CG70">
        <v>6.39</v>
      </c>
      <c r="CH70">
        <v>6.42</v>
      </c>
      <c r="CI70">
        <v>6.42</v>
      </c>
      <c r="CJ70" s="2" t="s">
        <v>4477</v>
      </c>
      <c r="CM70" s="3">
        <v>42934</v>
      </c>
      <c r="CN70">
        <v>1.1200000000000001</v>
      </c>
      <c r="CO70">
        <v>1.1299999999999999</v>
      </c>
      <c r="CP70">
        <v>1.1100000000000001</v>
      </c>
      <c r="CQ70">
        <v>1.1299999999999999</v>
      </c>
      <c r="CR70">
        <v>1.1299999999999999</v>
      </c>
      <c r="CS70" s="2" t="s">
        <v>4561</v>
      </c>
      <c r="CV70" s="3">
        <v>42935</v>
      </c>
      <c r="CW70">
        <v>12.98</v>
      </c>
      <c r="CX70">
        <v>13.14</v>
      </c>
      <c r="CY70">
        <v>12.98</v>
      </c>
      <c r="CZ70">
        <v>13.12</v>
      </c>
      <c r="DA70">
        <v>13.12</v>
      </c>
      <c r="DB70" s="2" t="s">
        <v>4644</v>
      </c>
    </row>
    <row r="71" spans="10:106" x14ac:dyDescent="0.4">
      <c r="J71" s="3">
        <v>42935</v>
      </c>
      <c r="K71">
        <v>0.67</v>
      </c>
      <c r="L71">
        <v>0.7</v>
      </c>
      <c r="M71">
        <v>0.67</v>
      </c>
      <c r="N71">
        <v>0.7</v>
      </c>
      <c r="O71">
        <v>0.7</v>
      </c>
      <c r="P71" s="2" t="s">
        <v>3844</v>
      </c>
      <c r="S71" s="3">
        <v>42936</v>
      </c>
      <c r="T71">
        <v>73</v>
      </c>
      <c r="U71">
        <v>73.25</v>
      </c>
      <c r="V71">
        <v>72.900000000000006</v>
      </c>
      <c r="W71">
        <v>73.099999999999994</v>
      </c>
      <c r="X71">
        <v>72.930000000000007</v>
      </c>
      <c r="Y71" s="2" t="s">
        <v>3915</v>
      </c>
      <c r="AB71" s="3">
        <v>42936</v>
      </c>
      <c r="AC71">
        <v>2.83</v>
      </c>
      <c r="AD71">
        <v>2.84</v>
      </c>
      <c r="AE71">
        <v>2.81</v>
      </c>
      <c r="AF71">
        <v>2.82</v>
      </c>
      <c r="AG71">
        <v>2.82</v>
      </c>
      <c r="AH71" s="2" t="s">
        <v>3998</v>
      </c>
      <c r="AK71" s="3">
        <v>42936</v>
      </c>
      <c r="AL71">
        <v>7.85</v>
      </c>
      <c r="AM71">
        <v>7.88</v>
      </c>
      <c r="AN71">
        <v>7.77</v>
      </c>
      <c r="AO71">
        <v>7.82</v>
      </c>
      <c r="AP71">
        <v>7.82</v>
      </c>
      <c r="AQ71" s="2" t="s">
        <v>4081</v>
      </c>
      <c r="AT71" s="3">
        <v>42936</v>
      </c>
      <c r="AU71">
        <v>1.73</v>
      </c>
      <c r="AV71">
        <v>1.73</v>
      </c>
      <c r="AW71">
        <v>1.7</v>
      </c>
      <c r="AX71">
        <v>1.72</v>
      </c>
      <c r="AY71">
        <v>1.72</v>
      </c>
      <c r="AZ71" s="2" t="s">
        <v>4164</v>
      </c>
      <c r="BC71" s="3">
        <v>42935</v>
      </c>
      <c r="BD71">
        <v>1.77</v>
      </c>
      <c r="BE71">
        <v>1.77</v>
      </c>
      <c r="BF71">
        <v>1.74</v>
      </c>
      <c r="BG71">
        <v>1.75</v>
      </c>
      <c r="BH71">
        <v>1.75</v>
      </c>
      <c r="BI71" s="2" t="s">
        <v>4245</v>
      </c>
      <c r="BL71" s="3">
        <v>42936</v>
      </c>
      <c r="BM71">
        <v>9.7100000000000009</v>
      </c>
      <c r="BN71">
        <v>9.9</v>
      </c>
      <c r="BO71">
        <v>9.5299999999999994</v>
      </c>
      <c r="BP71">
        <v>9.5299999999999994</v>
      </c>
      <c r="BQ71">
        <v>9.5299999999999994</v>
      </c>
      <c r="BR71" s="2" t="s">
        <v>4323</v>
      </c>
      <c r="BU71" s="3">
        <v>42936</v>
      </c>
      <c r="BV71">
        <v>1.24</v>
      </c>
      <c r="BW71">
        <v>1.25</v>
      </c>
      <c r="BX71">
        <v>1.21</v>
      </c>
      <c r="BY71">
        <v>1.24</v>
      </c>
      <c r="BZ71">
        <v>1.22</v>
      </c>
      <c r="CA71" s="2" t="s">
        <v>4404</v>
      </c>
      <c r="CD71" s="3">
        <v>42936</v>
      </c>
      <c r="CE71">
        <v>6.4</v>
      </c>
      <c r="CF71">
        <v>6.45</v>
      </c>
      <c r="CG71">
        <v>6.27</v>
      </c>
      <c r="CH71">
        <v>6.32</v>
      </c>
      <c r="CI71">
        <v>6.32</v>
      </c>
      <c r="CJ71" s="2" t="s">
        <v>4476</v>
      </c>
      <c r="CM71" s="3">
        <v>42935</v>
      </c>
      <c r="CN71">
        <v>1.1299999999999999</v>
      </c>
      <c r="CO71">
        <v>1.1399999999999999</v>
      </c>
      <c r="CP71">
        <v>1.1200000000000001</v>
      </c>
      <c r="CQ71">
        <v>1.1399999999999999</v>
      </c>
      <c r="CR71">
        <v>1.1399999999999999</v>
      </c>
      <c r="CS71" s="2" t="s">
        <v>4560</v>
      </c>
      <c r="CV71" s="3">
        <v>42936</v>
      </c>
      <c r="CW71">
        <v>13.12</v>
      </c>
      <c r="CX71">
        <v>13.16</v>
      </c>
      <c r="CY71">
        <v>13.04</v>
      </c>
      <c r="CZ71">
        <v>13.14</v>
      </c>
      <c r="DA71">
        <v>13.14</v>
      </c>
      <c r="DB71" s="2" t="s">
        <v>4643</v>
      </c>
    </row>
    <row r="72" spans="10:106" x14ac:dyDescent="0.4">
      <c r="J72" s="3">
        <v>42936</v>
      </c>
      <c r="K72">
        <v>0.68</v>
      </c>
      <c r="L72">
        <v>0.68</v>
      </c>
      <c r="M72">
        <v>0.68</v>
      </c>
      <c r="N72">
        <v>0.68</v>
      </c>
      <c r="O72">
        <v>0.68</v>
      </c>
      <c r="P72" s="2" t="s">
        <v>3843</v>
      </c>
      <c r="S72" s="3">
        <v>42937</v>
      </c>
      <c r="T72">
        <v>73.099999999999994</v>
      </c>
      <c r="U72">
        <v>73.099999999999994</v>
      </c>
      <c r="V72">
        <v>72.95</v>
      </c>
      <c r="W72">
        <v>73.099999999999994</v>
      </c>
      <c r="X72">
        <v>72.930000000000007</v>
      </c>
      <c r="Y72" s="2" t="s">
        <v>3914</v>
      </c>
      <c r="AB72" s="3">
        <v>42937</v>
      </c>
      <c r="AC72">
        <v>2.83</v>
      </c>
      <c r="AD72">
        <v>2.84</v>
      </c>
      <c r="AE72">
        <v>2.81</v>
      </c>
      <c r="AF72">
        <v>2.81</v>
      </c>
      <c r="AG72">
        <v>2.81</v>
      </c>
      <c r="AH72" s="2" t="s">
        <v>3997</v>
      </c>
      <c r="AK72" s="3">
        <v>42937</v>
      </c>
      <c r="AL72">
        <v>7.83</v>
      </c>
      <c r="AM72">
        <v>7.87</v>
      </c>
      <c r="AN72">
        <v>7.8</v>
      </c>
      <c r="AO72">
        <v>7.86</v>
      </c>
      <c r="AP72">
        <v>7.86</v>
      </c>
      <c r="AQ72" s="2" t="s">
        <v>4080</v>
      </c>
      <c r="AT72" s="3">
        <v>42937</v>
      </c>
      <c r="AU72">
        <v>1.7</v>
      </c>
      <c r="AV72">
        <v>1.72</v>
      </c>
      <c r="AW72">
        <v>1.67</v>
      </c>
      <c r="AX72">
        <v>1.7</v>
      </c>
      <c r="AY72">
        <v>1.7</v>
      </c>
      <c r="AZ72" s="2" t="s">
        <v>4163</v>
      </c>
      <c r="BC72" s="3">
        <v>42936</v>
      </c>
      <c r="BD72">
        <v>1.74</v>
      </c>
      <c r="BE72">
        <v>1.79</v>
      </c>
      <c r="BF72">
        <v>1.74</v>
      </c>
      <c r="BG72">
        <v>1.75</v>
      </c>
      <c r="BH72">
        <v>1.75</v>
      </c>
      <c r="BI72" s="2" t="s">
        <v>4244</v>
      </c>
      <c r="BL72" s="3">
        <v>42937</v>
      </c>
      <c r="BM72">
        <v>9.51</v>
      </c>
      <c r="BN72">
        <v>9.73</v>
      </c>
      <c r="BO72">
        <v>9.35</v>
      </c>
      <c r="BP72">
        <v>9.61</v>
      </c>
      <c r="BQ72">
        <v>9.61</v>
      </c>
      <c r="BR72" s="2" t="s">
        <v>4322</v>
      </c>
      <c r="BU72" s="3">
        <v>42937</v>
      </c>
      <c r="BV72">
        <v>1.21</v>
      </c>
      <c r="BW72">
        <v>1.24</v>
      </c>
      <c r="BX72">
        <v>1.2</v>
      </c>
      <c r="BY72">
        <v>1.21</v>
      </c>
      <c r="BZ72">
        <v>1.19</v>
      </c>
      <c r="CA72" s="2" t="s">
        <v>4403</v>
      </c>
      <c r="CD72" s="3">
        <v>42937</v>
      </c>
      <c r="CE72">
        <v>6.4</v>
      </c>
      <c r="CF72">
        <v>6.4</v>
      </c>
      <c r="CG72">
        <v>6.27</v>
      </c>
      <c r="CH72">
        <v>6.3</v>
      </c>
      <c r="CI72">
        <v>6.3</v>
      </c>
      <c r="CJ72" s="2" t="s">
        <v>4475</v>
      </c>
      <c r="CM72" s="3">
        <v>42936</v>
      </c>
      <c r="CN72">
        <v>1.1299999999999999</v>
      </c>
      <c r="CO72">
        <v>1.1399999999999999</v>
      </c>
      <c r="CP72">
        <v>1.1200000000000001</v>
      </c>
      <c r="CQ72">
        <v>1.1299999999999999</v>
      </c>
      <c r="CR72">
        <v>1.1299999999999999</v>
      </c>
      <c r="CS72" s="2" t="s">
        <v>4559</v>
      </c>
      <c r="CV72" s="3">
        <v>42937</v>
      </c>
      <c r="CW72">
        <v>13.12</v>
      </c>
      <c r="CX72">
        <v>13.16</v>
      </c>
      <c r="CY72">
        <v>13.08</v>
      </c>
      <c r="CZ72">
        <v>13.08</v>
      </c>
      <c r="DA72">
        <v>13.08</v>
      </c>
      <c r="DB72" s="2" t="s">
        <v>4642</v>
      </c>
    </row>
    <row r="73" spans="10:106" x14ac:dyDescent="0.4">
      <c r="J73" s="3">
        <v>42937</v>
      </c>
      <c r="K73">
        <v>0.68</v>
      </c>
      <c r="L73">
        <v>0.68</v>
      </c>
      <c r="M73">
        <v>0.68</v>
      </c>
      <c r="N73">
        <v>0.68</v>
      </c>
      <c r="O73">
        <v>0.68</v>
      </c>
      <c r="P73" s="2" t="s">
        <v>3842</v>
      </c>
      <c r="S73" s="3">
        <v>42940</v>
      </c>
      <c r="T73">
        <v>72.900000000000006</v>
      </c>
      <c r="U73">
        <v>73.2</v>
      </c>
      <c r="V73">
        <v>72.75</v>
      </c>
      <c r="W73">
        <v>72.900000000000006</v>
      </c>
      <c r="X73">
        <v>72.73</v>
      </c>
      <c r="Y73" s="2" t="s">
        <v>3913</v>
      </c>
      <c r="AB73" s="3">
        <v>42940</v>
      </c>
      <c r="AC73">
        <v>2.82</v>
      </c>
      <c r="AD73">
        <v>2.84</v>
      </c>
      <c r="AE73">
        <v>2.81</v>
      </c>
      <c r="AF73">
        <v>2.83</v>
      </c>
      <c r="AG73">
        <v>2.83</v>
      </c>
      <c r="AH73" s="2" t="s">
        <v>3996</v>
      </c>
      <c r="AK73" s="3">
        <v>42940</v>
      </c>
      <c r="AL73">
        <v>7.86</v>
      </c>
      <c r="AM73">
        <v>8.08</v>
      </c>
      <c r="AN73">
        <v>7.83</v>
      </c>
      <c r="AO73">
        <v>7.95</v>
      </c>
      <c r="AP73">
        <v>7.95</v>
      </c>
      <c r="AQ73" s="2" t="s">
        <v>4079</v>
      </c>
      <c r="AT73" s="3">
        <v>42940</v>
      </c>
      <c r="AU73">
        <v>1.7</v>
      </c>
      <c r="AV73">
        <v>1.7</v>
      </c>
      <c r="AW73">
        <v>1.66</v>
      </c>
      <c r="AX73">
        <v>1.67</v>
      </c>
      <c r="AY73">
        <v>1.67</v>
      </c>
      <c r="AZ73" s="2" t="s">
        <v>4162</v>
      </c>
      <c r="BC73" s="3">
        <v>42937</v>
      </c>
      <c r="BD73">
        <v>1.76</v>
      </c>
      <c r="BE73">
        <v>1.79</v>
      </c>
      <c r="BF73">
        <v>1.76</v>
      </c>
      <c r="BG73">
        <v>1.77</v>
      </c>
      <c r="BH73">
        <v>1.77</v>
      </c>
      <c r="BI73" s="2" t="s">
        <v>4243</v>
      </c>
      <c r="BL73" s="3">
        <v>42940</v>
      </c>
      <c r="BM73">
        <v>9.73</v>
      </c>
      <c r="BN73">
        <v>9.8000000000000007</v>
      </c>
      <c r="BO73">
        <v>9.6199999999999992</v>
      </c>
      <c r="BP73">
        <v>9.7200000000000006</v>
      </c>
      <c r="BQ73">
        <v>9.7200000000000006</v>
      </c>
      <c r="BR73" s="2" t="s">
        <v>4321</v>
      </c>
      <c r="BU73" s="3">
        <v>42940</v>
      </c>
      <c r="BV73">
        <v>1.21</v>
      </c>
      <c r="BW73">
        <v>1.21</v>
      </c>
      <c r="BX73">
        <v>1.19</v>
      </c>
      <c r="BY73">
        <v>1.21</v>
      </c>
      <c r="BZ73">
        <v>1.19</v>
      </c>
      <c r="CA73" s="2" t="s">
        <v>4402</v>
      </c>
      <c r="CD73" s="3">
        <v>42940</v>
      </c>
      <c r="CE73">
        <v>6.36</v>
      </c>
      <c r="CF73">
        <v>6.42</v>
      </c>
      <c r="CG73">
        <v>6.3</v>
      </c>
      <c r="CH73">
        <v>6.32</v>
      </c>
      <c r="CI73">
        <v>6.32</v>
      </c>
      <c r="CJ73" s="2" t="s">
        <v>4474</v>
      </c>
      <c r="CM73" s="3">
        <v>42937</v>
      </c>
      <c r="CN73">
        <v>1.1200000000000001</v>
      </c>
      <c r="CO73">
        <v>1.1299999999999999</v>
      </c>
      <c r="CP73">
        <v>1.1100000000000001</v>
      </c>
      <c r="CQ73">
        <v>1.1200000000000001</v>
      </c>
      <c r="CR73">
        <v>1.1200000000000001</v>
      </c>
      <c r="CS73" s="2" t="s">
        <v>4558</v>
      </c>
      <c r="CV73" s="3">
        <v>42940</v>
      </c>
      <c r="CW73">
        <v>13.1</v>
      </c>
      <c r="CX73">
        <v>13.2</v>
      </c>
      <c r="CY73">
        <v>13.06</v>
      </c>
      <c r="CZ73">
        <v>13.16</v>
      </c>
      <c r="DA73">
        <v>13.16</v>
      </c>
      <c r="DB73" s="2" t="s">
        <v>4641</v>
      </c>
    </row>
    <row r="74" spans="10:106" x14ac:dyDescent="0.4">
      <c r="J74" s="3">
        <v>42940</v>
      </c>
      <c r="K74">
        <v>0.68</v>
      </c>
      <c r="L74">
        <v>0.7</v>
      </c>
      <c r="M74">
        <v>0.68</v>
      </c>
      <c r="N74">
        <v>0.68</v>
      </c>
      <c r="O74">
        <v>0.68</v>
      </c>
      <c r="P74" s="2" t="s">
        <v>3841</v>
      </c>
      <c r="S74" s="3">
        <v>42941</v>
      </c>
      <c r="T74">
        <v>73</v>
      </c>
      <c r="U74">
        <v>73.2</v>
      </c>
      <c r="V74">
        <v>72.900000000000006</v>
      </c>
      <c r="W74">
        <v>73.099999999999994</v>
      </c>
      <c r="X74">
        <v>72.930000000000007</v>
      </c>
      <c r="Y74" s="2" t="s">
        <v>3912</v>
      </c>
      <c r="AB74" s="3">
        <v>42941</v>
      </c>
      <c r="AC74">
        <v>2.83</v>
      </c>
      <c r="AD74">
        <v>2.86</v>
      </c>
      <c r="AE74">
        <v>2.82</v>
      </c>
      <c r="AF74">
        <v>2.83</v>
      </c>
      <c r="AG74">
        <v>2.83</v>
      </c>
      <c r="AH74" s="2" t="s">
        <v>3995</v>
      </c>
      <c r="AK74" s="3">
        <v>42941</v>
      </c>
      <c r="AL74">
        <v>8</v>
      </c>
      <c r="AM74">
        <v>8.17</v>
      </c>
      <c r="AN74">
        <v>7.94</v>
      </c>
      <c r="AO74">
        <v>7.94</v>
      </c>
      <c r="AP74">
        <v>7.94</v>
      </c>
      <c r="AQ74" s="2" t="s">
        <v>4078</v>
      </c>
      <c r="AT74" s="3">
        <v>42941</v>
      </c>
      <c r="AU74">
        <v>1.68</v>
      </c>
      <c r="AV74">
        <v>1.69</v>
      </c>
      <c r="AW74">
        <v>1.67</v>
      </c>
      <c r="AX74">
        <v>1.67</v>
      </c>
      <c r="AY74">
        <v>1.67</v>
      </c>
      <c r="AZ74" s="2" t="s">
        <v>4161</v>
      </c>
      <c r="BC74" s="3">
        <v>42940</v>
      </c>
      <c r="BD74">
        <v>1.77</v>
      </c>
      <c r="BE74">
        <v>1.78</v>
      </c>
      <c r="BF74">
        <v>1.74</v>
      </c>
      <c r="BG74">
        <v>1.78</v>
      </c>
      <c r="BH74">
        <v>1.78</v>
      </c>
      <c r="BI74" s="2" t="s">
        <v>4242</v>
      </c>
      <c r="BL74" s="3">
        <v>42941</v>
      </c>
      <c r="BM74">
        <v>9.73</v>
      </c>
      <c r="BN74">
        <v>9.75</v>
      </c>
      <c r="BO74">
        <v>9.51</v>
      </c>
      <c r="BP74">
        <v>9.6</v>
      </c>
      <c r="BQ74">
        <v>9.6</v>
      </c>
      <c r="BR74" s="2" t="s">
        <v>4320</v>
      </c>
      <c r="BU74" s="3">
        <v>42941</v>
      </c>
      <c r="BV74">
        <v>1.21</v>
      </c>
      <c r="BW74">
        <v>1.21</v>
      </c>
      <c r="BX74">
        <v>1.2</v>
      </c>
      <c r="BY74">
        <v>1.2</v>
      </c>
      <c r="BZ74">
        <v>1.18</v>
      </c>
      <c r="CA74" s="2" t="s">
        <v>4393</v>
      </c>
      <c r="CD74" s="3">
        <v>42941</v>
      </c>
      <c r="CE74">
        <v>6.35</v>
      </c>
      <c r="CF74">
        <v>6.35</v>
      </c>
      <c r="CG74">
        <v>6.25</v>
      </c>
      <c r="CH74">
        <v>6.28</v>
      </c>
      <c r="CI74">
        <v>6.28</v>
      </c>
      <c r="CJ74" s="2" t="s">
        <v>4473</v>
      </c>
      <c r="CM74" s="3">
        <v>42940</v>
      </c>
      <c r="CN74">
        <v>1.1100000000000001</v>
      </c>
      <c r="CO74">
        <v>1.1200000000000001</v>
      </c>
      <c r="CP74">
        <v>1.1000000000000001</v>
      </c>
      <c r="CQ74">
        <v>1.1200000000000001</v>
      </c>
      <c r="CR74">
        <v>1.1200000000000001</v>
      </c>
      <c r="CS74" s="2" t="s">
        <v>4557</v>
      </c>
      <c r="CV74" s="3">
        <v>42941</v>
      </c>
      <c r="CW74">
        <v>13.18</v>
      </c>
      <c r="CX74">
        <v>13.26</v>
      </c>
      <c r="CY74">
        <v>13.12</v>
      </c>
      <c r="CZ74">
        <v>13.18</v>
      </c>
      <c r="DA74">
        <v>13.18</v>
      </c>
      <c r="DB74" s="2" t="s">
        <v>4640</v>
      </c>
    </row>
    <row r="75" spans="10:106" x14ac:dyDescent="0.4">
      <c r="J75" s="3">
        <v>42941</v>
      </c>
      <c r="K75">
        <v>0.68</v>
      </c>
      <c r="L75">
        <v>0.68</v>
      </c>
      <c r="M75">
        <v>0.68</v>
      </c>
      <c r="N75">
        <v>0.68</v>
      </c>
      <c r="O75">
        <v>0.68</v>
      </c>
      <c r="P75" s="2" t="s">
        <v>3840</v>
      </c>
      <c r="S75" s="3">
        <v>42942</v>
      </c>
      <c r="T75">
        <v>73</v>
      </c>
      <c r="U75">
        <v>73.150000000000006</v>
      </c>
      <c r="V75">
        <v>72.849999999999994</v>
      </c>
      <c r="W75">
        <v>72.95</v>
      </c>
      <c r="X75">
        <v>72.78</v>
      </c>
      <c r="Y75" s="2" t="s">
        <v>3911</v>
      </c>
      <c r="AB75" s="3">
        <v>42942</v>
      </c>
      <c r="AC75">
        <v>2.85</v>
      </c>
      <c r="AD75">
        <v>2.89</v>
      </c>
      <c r="AE75">
        <v>2.84</v>
      </c>
      <c r="AF75">
        <v>2.86</v>
      </c>
      <c r="AG75">
        <v>2.86</v>
      </c>
      <c r="AH75" s="2" t="s">
        <v>3994</v>
      </c>
      <c r="AK75" s="3">
        <v>42942</v>
      </c>
      <c r="AL75">
        <v>7.93</v>
      </c>
      <c r="AM75">
        <v>8.0299999999999994</v>
      </c>
      <c r="AN75">
        <v>7.79</v>
      </c>
      <c r="AO75">
        <v>7.83</v>
      </c>
      <c r="AP75">
        <v>7.83</v>
      </c>
      <c r="AQ75" s="2" t="s">
        <v>4077</v>
      </c>
      <c r="AT75" s="3">
        <v>42942</v>
      </c>
      <c r="AU75">
        <v>1.67</v>
      </c>
      <c r="AV75">
        <v>1.68</v>
      </c>
      <c r="AW75">
        <v>1.65</v>
      </c>
      <c r="AX75">
        <v>1.65</v>
      </c>
      <c r="AY75">
        <v>1.65</v>
      </c>
      <c r="AZ75" s="2" t="s">
        <v>4160</v>
      </c>
      <c r="BC75" s="3">
        <v>42941</v>
      </c>
      <c r="BD75">
        <v>1.77</v>
      </c>
      <c r="BE75">
        <v>1.78</v>
      </c>
      <c r="BF75">
        <v>1.76</v>
      </c>
      <c r="BG75">
        <v>1.78</v>
      </c>
      <c r="BH75">
        <v>1.78</v>
      </c>
      <c r="BI75" s="2" t="s">
        <v>3868</v>
      </c>
      <c r="BL75" s="3">
        <v>42942</v>
      </c>
      <c r="BM75">
        <v>9.85</v>
      </c>
      <c r="BN75">
        <v>9.85</v>
      </c>
      <c r="BO75">
        <v>9.58</v>
      </c>
      <c r="BP75">
        <v>9.58</v>
      </c>
      <c r="BQ75">
        <v>9.58</v>
      </c>
      <c r="BR75" s="2" t="s">
        <v>4319</v>
      </c>
      <c r="BU75" s="3">
        <v>42942</v>
      </c>
      <c r="BV75">
        <v>1.2</v>
      </c>
      <c r="BW75">
        <v>1.22</v>
      </c>
      <c r="BX75">
        <v>1.18</v>
      </c>
      <c r="BY75">
        <v>1.19</v>
      </c>
      <c r="BZ75">
        <v>1.17</v>
      </c>
      <c r="CA75" s="2" t="s">
        <v>4401</v>
      </c>
      <c r="CD75" s="3">
        <v>42942</v>
      </c>
      <c r="CE75">
        <v>6.3</v>
      </c>
      <c r="CF75">
        <v>6.32</v>
      </c>
      <c r="CG75">
        <v>6.21</v>
      </c>
      <c r="CH75">
        <v>6.28</v>
      </c>
      <c r="CI75">
        <v>6.28</v>
      </c>
      <c r="CJ75" s="2" t="s">
        <v>4472</v>
      </c>
      <c r="CM75" s="3">
        <v>42941</v>
      </c>
      <c r="CN75">
        <v>1.1200000000000001</v>
      </c>
      <c r="CO75">
        <v>1.1299999999999999</v>
      </c>
      <c r="CP75">
        <v>1.1100000000000001</v>
      </c>
      <c r="CQ75">
        <v>1.1200000000000001</v>
      </c>
      <c r="CR75">
        <v>1.1200000000000001</v>
      </c>
      <c r="CS75" s="2" t="s">
        <v>4556</v>
      </c>
      <c r="CV75" s="3">
        <v>42942</v>
      </c>
      <c r="CW75">
        <v>13.2</v>
      </c>
      <c r="CX75">
        <v>13.26</v>
      </c>
      <c r="CY75">
        <v>13.06</v>
      </c>
      <c r="CZ75">
        <v>13.12</v>
      </c>
      <c r="DA75">
        <v>13.12</v>
      </c>
      <c r="DB75" s="2" t="s">
        <v>4639</v>
      </c>
    </row>
    <row r="76" spans="10:106" x14ac:dyDescent="0.4">
      <c r="J76" s="3">
        <v>42942</v>
      </c>
      <c r="K76">
        <v>0.7</v>
      </c>
      <c r="L76">
        <v>0.7</v>
      </c>
      <c r="M76">
        <v>0.64</v>
      </c>
      <c r="N76">
        <v>0.68</v>
      </c>
      <c r="O76">
        <v>0.68</v>
      </c>
      <c r="P76" s="2" t="s">
        <v>3839</v>
      </c>
      <c r="S76" s="3">
        <v>42943</v>
      </c>
      <c r="T76">
        <v>73</v>
      </c>
      <c r="U76">
        <v>73.099999999999994</v>
      </c>
      <c r="V76">
        <v>72.75</v>
      </c>
      <c r="W76">
        <v>72.900000000000006</v>
      </c>
      <c r="X76">
        <v>72.73</v>
      </c>
      <c r="Y76" s="2" t="s">
        <v>3910</v>
      </c>
      <c r="AB76" s="3">
        <v>42943</v>
      </c>
      <c r="AC76">
        <v>2.86</v>
      </c>
      <c r="AD76">
        <v>2.89</v>
      </c>
      <c r="AE76">
        <v>2.84</v>
      </c>
      <c r="AF76">
        <v>2.85</v>
      </c>
      <c r="AG76">
        <v>2.85</v>
      </c>
      <c r="AH76" s="2" t="s">
        <v>3993</v>
      </c>
      <c r="AK76" s="3">
        <v>42943</v>
      </c>
      <c r="AL76">
        <v>7.89</v>
      </c>
      <c r="AM76">
        <v>7.93</v>
      </c>
      <c r="AN76">
        <v>7.82</v>
      </c>
      <c r="AO76">
        <v>7.82</v>
      </c>
      <c r="AP76">
        <v>7.82</v>
      </c>
      <c r="AQ76" s="2" t="s">
        <v>4076</v>
      </c>
      <c r="AT76" s="3">
        <v>42943</v>
      </c>
      <c r="AU76">
        <v>1.64</v>
      </c>
      <c r="AV76">
        <v>1.68</v>
      </c>
      <c r="AW76">
        <v>1.63</v>
      </c>
      <c r="AX76">
        <v>1.65</v>
      </c>
      <c r="AY76">
        <v>1.65</v>
      </c>
      <c r="AZ76" s="2" t="s">
        <v>4159</v>
      </c>
      <c r="BC76" s="3">
        <v>42942</v>
      </c>
      <c r="BD76">
        <v>1.78</v>
      </c>
      <c r="BE76">
        <v>1.78</v>
      </c>
      <c r="BF76">
        <v>1.76</v>
      </c>
      <c r="BG76">
        <v>1.77</v>
      </c>
      <c r="BH76">
        <v>1.77</v>
      </c>
      <c r="BI76" s="2" t="s">
        <v>4241</v>
      </c>
      <c r="BL76" s="3">
        <v>42943</v>
      </c>
      <c r="BM76">
        <v>9.58</v>
      </c>
      <c r="BN76">
        <v>9.68</v>
      </c>
      <c r="BO76">
        <v>9.4700000000000006</v>
      </c>
      <c r="BP76">
        <v>9.6</v>
      </c>
      <c r="BQ76">
        <v>9.6</v>
      </c>
      <c r="BR76" s="2" t="s">
        <v>4318</v>
      </c>
      <c r="BU76" s="3">
        <v>42943</v>
      </c>
      <c r="BV76">
        <v>1.21</v>
      </c>
      <c r="BW76">
        <v>1.21</v>
      </c>
      <c r="BX76">
        <v>1.19</v>
      </c>
      <c r="BY76">
        <v>1.2</v>
      </c>
      <c r="BZ76">
        <v>1.18</v>
      </c>
      <c r="CA76" s="2" t="s">
        <v>4400</v>
      </c>
      <c r="CD76" s="3">
        <v>42943</v>
      </c>
      <c r="CE76">
        <v>6.36</v>
      </c>
      <c r="CF76">
        <v>6.39</v>
      </c>
      <c r="CG76">
        <v>6.29</v>
      </c>
      <c r="CH76">
        <v>6.31</v>
      </c>
      <c r="CI76">
        <v>6.31</v>
      </c>
      <c r="CJ76" s="2" t="s">
        <v>4471</v>
      </c>
      <c r="CM76" s="3">
        <v>42942</v>
      </c>
      <c r="CN76">
        <v>1.1100000000000001</v>
      </c>
      <c r="CO76">
        <v>1.1299999999999999</v>
      </c>
      <c r="CP76">
        <v>1.1100000000000001</v>
      </c>
      <c r="CQ76">
        <v>1.1200000000000001</v>
      </c>
      <c r="CR76">
        <v>1.1200000000000001</v>
      </c>
      <c r="CS76" s="2" t="s">
        <v>4555</v>
      </c>
      <c r="CV76" s="3">
        <v>42943</v>
      </c>
      <c r="CW76">
        <v>13.14</v>
      </c>
      <c r="CX76">
        <v>13.22</v>
      </c>
      <c r="CY76">
        <v>13.1</v>
      </c>
      <c r="CZ76">
        <v>13.18</v>
      </c>
      <c r="DA76">
        <v>13.18</v>
      </c>
      <c r="DB76" s="2" t="s">
        <v>4638</v>
      </c>
    </row>
    <row r="77" spans="10:106" x14ac:dyDescent="0.4">
      <c r="J77" s="3">
        <v>42943</v>
      </c>
      <c r="K77">
        <v>0.65</v>
      </c>
      <c r="L77">
        <v>0.65</v>
      </c>
      <c r="M77">
        <v>0.65</v>
      </c>
      <c r="N77">
        <v>0.65</v>
      </c>
      <c r="O77">
        <v>0.65</v>
      </c>
      <c r="P77" s="2" t="s">
        <v>3838</v>
      </c>
      <c r="S77" s="3">
        <v>42944</v>
      </c>
      <c r="T77">
        <v>73</v>
      </c>
      <c r="U77">
        <v>73</v>
      </c>
      <c r="V77">
        <v>72.650000000000006</v>
      </c>
      <c r="W77">
        <v>72.900000000000006</v>
      </c>
      <c r="X77">
        <v>72.73</v>
      </c>
      <c r="Y77" s="2" t="s">
        <v>3909</v>
      </c>
      <c r="AB77" s="3">
        <v>42944</v>
      </c>
      <c r="AC77">
        <v>2.87</v>
      </c>
      <c r="AD77">
        <v>2.87</v>
      </c>
      <c r="AE77">
        <v>2.84</v>
      </c>
      <c r="AF77">
        <v>2.84</v>
      </c>
      <c r="AG77">
        <v>2.84</v>
      </c>
      <c r="AH77" s="2" t="s">
        <v>3992</v>
      </c>
      <c r="AK77" s="3">
        <v>42944</v>
      </c>
      <c r="AL77">
        <v>7.83</v>
      </c>
      <c r="AM77">
        <v>7.9</v>
      </c>
      <c r="AN77">
        <v>7.75</v>
      </c>
      <c r="AO77">
        <v>7.84</v>
      </c>
      <c r="AP77">
        <v>7.84</v>
      </c>
      <c r="AQ77" s="2" t="s">
        <v>4075</v>
      </c>
      <c r="AT77" s="3">
        <v>42944</v>
      </c>
      <c r="AU77">
        <v>1.67</v>
      </c>
      <c r="AV77">
        <v>1.69</v>
      </c>
      <c r="AW77">
        <v>1.63</v>
      </c>
      <c r="AX77">
        <v>1.67</v>
      </c>
      <c r="AY77">
        <v>1.67</v>
      </c>
      <c r="AZ77" s="2" t="s">
        <v>4158</v>
      </c>
      <c r="BC77" s="3">
        <v>42943</v>
      </c>
      <c r="BD77">
        <v>1.76</v>
      </c>
      <c r="BE77">
        <v>1.78</v>
      </c>
      <c r="BF77">
        <v>1.76</v>
      </c>
      <c r="BG77">
        <v>1.78</v>
      </c>
      <c r="BH77">
        <v>1.78</v>
      </c>
      <c r="BI77" s="2" t="s">
        <v>4240</v>
      </c>
      <c r="BL77" s="3">
        <v>42944</v>
      </c>
      <c r="BM77">
        <v>9.6</v>
      </c>
      <c r="BN77">
        <v>9.6300000000000008</v>
      </c>
      <c r="BO77">
        <v>9.4499999999999993</v>
      </c>
      <c r="BP77">
        <v>9.51</v>
      </c>
      <c r="BQ77">
        <v>9.51</v>
      </c>
      <c r="BR77" s="2" t="s">
        <v>4317</v>
      </c>
      <c r="BU77" s="3">
        <v>42944</v>
      </c>
      <c r="BV77">
        <v>1.19</v>
      </c>
      <c r="BW77">
        <v>1.21</v>
      </c>
      <c r="BX77">
        <v>1.19</v>
      </c>
      <c r="BY77">
        <v>1.2</v>
      </c>
      <c r="BZ77">
        <v>1.18</v>
      </c>
      <c r="CA77" s="2" t="s">
        <v>4393</v>
      </c>
      <c r="CD77" s="3">
        <v>42944</v>
      </c>
      <c r="CE77">
        <v>6.31</v>
      </c>
      <c r="CF77">
        <v>6.35</v>
      </c>
      <c r="CG77">
        <v>6.19</v>
      </c>
      <c r="CH77">
        <v>6.26</v>
      </c>
      <c r="CI77">
        <v>6.26</v>
      </c>
      <c r="CJ77" s="2" t="s">
        <v>4470</v>
      </c>
      <c r="CM77" s="3">
        <v>42943</v>
      </c>
      <c r="CN77">
        <v>1.1200000000000001</v>
      </c>
      <c r="CO77">
        <v>1.1499999999999999</v>
      </c>
      <c r="CP77">
        <v>1.1100000000000001</v>
      </c>
      <c r="CQ77">
        <v>1.1499999999999999</v>
      </c>
      <c r="CR77">
        <v>1.1499999999999999</v>
      </c>
      <c r="CS77" s="2" t="s">
        <v>4554</v>
      </c>
      <c r="CV77" s="3">
        <v>42944</v>
      </c>
      <c r="CW77">
        <v>13.16</v>
      </c>
      <c r="CX77">
        <v>13.24</v>
      </c>
      <c r="CY77">
        <v>13.1</v>
      </c>
      <c r="CZ77">
        <v>13.24</v>
      </c>
      <c r="DA77">
        <v>13.24</v>
      </c>
      <c r="DB77" s="2" t="s">
        <v>4637</v>
      </c>
    </row>
    <row r="78" spans="10:106" x14ac:dyDescent="0.4">
      <c r="J78" s="3">
        <v>42944</v>
      </c>
      <c r="K78">
        <v>0.65</v>
      </c>
      <c r="L78">
        <v>0.65</v>
      </c>
      <c r="M78">
        <v>0.65</v>
      </c>
      <c r="N78">
        <v>0.65</v>
      </c>
      <c r="O78">
        <v>0.65</v>
      </c>
      <c r="P78" s="2" t="s">
        <v>3837</v>
      </c>
      <c r="S78" s="3">
        <v>42947</v>
      </c>
      <c r="T78">
        <v>72.900000000000006</v>
      </c>
      <c r="U78">
        <v>73.05</v>
      </c>
      <c r="V78">
        <v>72.599999999999994</v>
      </c>
      <c r="W78">
        <v>72.75</v>
      </c>
      <c r="X78">
        <v>72.58</v>
      </c>
      <c r="Y78" s="2" t="s">
        <v>3908</v>
      </c>
      <c r="AB78" s="3">
        <v>42947</v>
      </c>
      <c r="AC78">
        <v>2.84</v>
      </c>
      <c r="AD78">
        <v>2.86</v>
      </c>
      <c r="AE78">
        <v>2.83</v>
      </c>
      <c r="AF78">
        <v>2.86</v>
      </c>
      <c r="AG78">
        <v>2.86</v>
      </c>
      <c r="AH78" s="2" t="s">
        <v>3991</v>
      </c>
      <c r="AK78" s="3">
        <v>42947</v>
      </c>
      <c r="AL78">
        <v>7.85</v>
      </c>
      <c r="AM78">
        <v>7.92</v>
      </c>
      <c r="AN78">
        <v>7.77</v>
      </c>
      <c r="AO78">
        <v>7.82</v>
      </c>
      <c r="AP78">
        <v>7.82</v>
      </c>
      <c r="AQ78" s="2" t="s">
        <v>4074</v>
      </c>
      <c r="AT78" s="3">
        <v>42947</v>
      </c>
      <c r="AU78">
        <v>1.69</v>
      </c>
      <c r="AV78">
        <v>1.69</v>
      </c>
      <c r="AW78">
        <v>1.64</v>
      </c>
      <c r="AX78">
        <v>1.65</v>
      </c>
      <c r="AY78">
        <v>1.65</v>
      </c>
      <c r="AZ78" s="2" t="s">
        <v>4157</v>
      </c>
      <c r="BC78" s="3">
        <v>42944</v>
      </c>
      <c r="BD78">
        <v>1.76</v>
      </c>
      <c r="BE78">
        <v>1.78</v>
      </c>
      <c r="BF78">
        <v>1.75</v>
      </c>
      <c r="BG78">
        <v>1.75</v>
      </c>
      <c r="BH78">
        <v>1.75</v>
      </c>
      <c r="BI78" s="2" t="s">
        <v>3897</v>
      </c>
      <c r="BL78" s="3">
        <v>42947</v>
      </c>
      <c r="BM78">
        <v>9.51</v>
      </c>
      <c r="BN78">
        <v>9.6</v>
      </c>
      <c r="BO78">
        <v>9.5</v>
      </c>
      <c r="BP78">
        <v>9.56</v>
      </c>
      <c r="BQ78">
        <v>9.56</v>
      </c>
      <c r="BR78" s="2" t="s">
        <v>4316</v>
      </c>
      <c r="BU78" s="3">
        <v>42947</v>
      </c>
      <c r="BV78">
        <v>1.2</v>
      </c>
      <c r="BW78">
        <v>1.21</v>
      </c>
      <c r="BX78">
        <v>1.2</v>
      </c>
      <c r="BY78">
        <v>1.21</v>
      </c>
      <c r="BZ78">
        <v>1.19</v>
      </c>
      <c r="CA78" s="2" t="s">
        <v>4399</v>
      </c>
      <c r="CD78" s="3">
        <v>42947</v>
      </c>
      <c r="CE78">
        <v>6.35</v>
      </c>
      <c r="CF78">
        <v>6.48</v>
      </c>
      <c r="CG78">
        <v>6.28</v>
      </c>
      <c r="CH78">
        <v>6.41</v>
      </c>
      <c r="CI78">
        <v>6.41</v>
      </c>
      <c r="CJ78" s="2" t="s">
        <v>4469</v>
      </c>
      <c r="CM78" s="3">
        <v>42944</v>
      </c>
      <c r="CN78">
        <v>1.1399999999999999</v>
      </c>
      <c r="CO78">
        <v>1.1599999999999999</v>
      </c>
      <c r="CP78">
        <v>1.1100000000000001</v>
      </c>
      <c r="CQ78">
        <v>1.1200000000000001</v>
      </c>
      <c r="CR78">
        <v>1.1200000000000001</v>
      </c>
      <c r="CS78" s="2" t="s">
        <v>4553</v>
      </c>
      <c r="CV78" s="3">
        <v>42947</v>
      </c>
      <c r="CW78">
        <v>13.24</v>
      </c>
      <c r="CX78">
        <v>13.3</v>
      </c>
      <c r="CY78">
        <v>13.2</v>
      </c>
      <c r="CZ78">
        <v>13.28</v>
      </c>
      <c r="DA78">
        <v>13.28</v>
      </c>
      <c r="DB78" s="2" t="s">
        <v>4636</v>
      </c>
    </row>
    <row r="79" spans="10:106" x14ac:dyDescent="0.4">
      <c r="J79" s="3">
        <v>42947</v>
      </c>
      <c r="K79">
        <v>0.65</v>
      </c>
      <c r="L79">
        <v>0.65</v>
      </c>
      <c r="M79">
        <v>0.65</v>
      </c>
      <c r="N79">
        <v>0.65</v>
      </c>
      <c r="O79">
        <v>0.65</v>
      </c>
      <c r="P79" s="2" t="s">
        <v>3836</v>
      </c>
      <c r="S79" s="3">
        <v>42948</v>
      </c>
      <c r="T79">
        <v>72.650000000000006</v>
      </c>
      <c r="U79">
        <v>72.95</v>
      </c>
      <c r="V79">
        <v>72.400000000000006</v>
      </c>
      <c r="W79">
        <v>72.45</v>
      </c>
      <c r="X79">
        <v>72.28</v>
      </c>
      <c r="Y79" s="2" t="s">
        <v>3907</v>
      </c>
      <c r="AB79" s="3">
        <v>42948</v>
      </c>
      <c r="AC79">
        <v>2.85</v>
      </c>
      <c r="AD79">
        <v>2.86</v>
      </c>
      <c r="AE79">
        <v>2.83</v>
      </c>
      <c r="AF79">
        <v>2.84</v>
      </c>
      <c r="AG79">
        <v>2.84</v>
      </c>
      <c r="AH79" s="2" t="s">
        <v>3990</v>
      </c>
      <c r="AK79" s="3">
        <v>42948</v>
      </c>
      <c r="AL79">
        <v>7.76</v>
      </c>
      <c r="AM79">
        <v>7.82</v>
      </c>
      <c r="AN79">
        <v>7.73</v>
      </c>
      <c r="AO79">
        <v>7.77</v>
      </c>
      <c r="AP79">
        <v>7.77</v>
      </c>
      <c r="AQ79" s="2" t="s">
        <v>4073</v>
      </c>
      <c r="AT79" s="3">
        <v>42948</v>
      </c>
      <c r="AU79">
        <v>1.65</v>
      </c>
      <c r="AV79">
        <v>1.69</v>
      </c>
      <c r="AW79">
        <v>1.65</v>
      </c>
      <c r="AX79">
        <v>1.66</v>
      </c>
      <c r="AY79">
        <v>1.66</v>
      </c>
      <c r="AZ79" s="2" t="s">
        <v>4156</v>
      </c>
      <c r="BC79" s="3">
        <v>42947</v>
      </c>
      <c r="BD79">
        <v>1.75</v>
      </c>
      <c r="BE79">
        <v>1.75</v>
      </c>
      <c r="BF79">
        <v>1.71</v>
      </c>
      <c r="BG79">
        <v>1.71</v>
      </c>
      <c r="BH79">
        <v>1.71</v>
      </c>
      <c r="BI79" s="2" t="s">
        <v>4239</v>
      </c>
      <c r="BL79" s="3">
        <v>42948</v>
      </c>
      <c r="BM79">
        <v>9.5299999999999994</v>
      </c>
      <c r="BN79">
        <v>9.61</v>
      </c>
      <c r="BO79">
        <v>9.4700000000000006</v>
      </c>
      <c r="BP79">
        <v>9.5</v>
      </c>
      <c r="BQ79">
        <v>9.5</v>
      </c>
      <c r="BR79" s="2" t="s">
        <v>4315</v>
      </c>
      <c r="BU79" s="3">
        <v>42948</v>
      </c>
      <c r="BV79">
        <v>1.21</v>
      </c>
      <c r="BW79">
        <v>1.21</v>
      </c>
      <c r="BX79">
        <v>1.19</v>
      </c>
      <c r="BY79">
        <v>1.19</v>
      </c>
      <c r="BZ79">
        <v>1.17</v>
      </c>
      <c r="CA79" s="2" t="s">
        <v>4398</v>
      </c>
      <c r="CD79" s="3">
        <v>42948</v>
      </c>
      <c r="CE79">
        <v>6.41</v>
      </c>
      <c r="CF79">
        <v>6.47</v>
      </c>
      <c r="CG79">
        <v>6.3</v>
      </c>
      <c r="CH79">
        <v>6.38</v>
      </c>
      <c r="CI79">
        <v>6.38</v>
      </c>
      <c r="CJ79" s="2" t="s">
        <v>4468</v>
      </c>
      <c r="CM79" s="3">
        <v>42947</v>
      </c>
      <c r="CN79">
        <v>1.1000000000000001</v>
      </c>
      <c r="CO79">
        <v>1.1399999999999999</v>
      </c>
      <c r="CP79">
        <v>1.1000000000000001</v>
      </c>
      <c r="CQ79">
        <v>1.1200000000000001</v>
      </c>
      <c r="CR79">
        <v>1.1200000000000001</v>
      </c>
      <c r="CS79" s="2" t="s">
        <v>4552</v>
      </c>
      <c r="CV79" s="3">
        <v>42948</v>
      </c>
      <c r="CW79">
        <v>13.26</v>
      </c>
      <c r="CX79">
        <v>13.46</v>
      </c>
      <c r="CY79">
        <v>13.26</v>
      </c>
      <c r="CZ79">
        <v>13.44</v>
      </c>
      <c r="DA79">
        <v>13.44</v>
      </c>
      <c r="DB79" s="2" t="s">
        <v>4635</v>
      </c>
    </row>
    <row r="80" spans="10:106" x14ac:dyDescent="0.4">
      <c r="J80" s="3">
        <v>42948</v>
      </c>
      <c r="K80">
        <v>0.63</v>
      </c>
      <c r="L80">
        <v>0.68</v>
      </c>
      <c r="M80">
        <v>0.63</v>
      </c>
      <c r="N80">
        <v>0.66</v>
      </c>
      <c r="O80">
        <v>0.66</v>
      </c>
      <c r="P80" s="2" t="s">
        <v>3835</v>
      </c>
      <c r="S80" s="3">
        <v>42949</v>
      </c>
      <c r="T80">
        <v>72.599999999999994</v>
      </c>
      <c r="U80">
        <v>72.599999999999994</v>
      </c>
      <c r="V80">
        <v>72.05</v>
      </c>
      <c r="W80">
        <v>72.25</v>
      </c>
      <c r="X80">
        <v>72.08</v>
      </c>
      <c r="Y80" s="2" t="s">
        <v>3906</v>
      </c>
      <c r="AB80" s="3">
        <v>42949</v>
      </c>
      <c r="AC80">
        <v>2.84</v>
      </c>
      <c r="AD80">
        <v>2.86</v>
      </c>
      <c r="AE80">
        <v>2.83</v>
      </c>
      <c r="AF80">
        <v>2.85</v>
      </c>
      <c r="AG80">
        <v>2.85</v>
      </c>
      <c r="AH80" s="2" t="s">
        <v>3989</v>
      </c>
      <c r="AK80" s="3">
        <v>42949</v>
      </c>
      <c r="AL80">
        <v>7.5</v>
      </c>
      <c r="AM80">
        <v>7.53</v>
      </c>
      <c r="AN80">
        <v>7.1</v>
      </c>
      <c r="AO80">
        <v>7.33</v>
      </c>
      <c r="AP80">
        <v>7.33</v>
      </c>
      <c r="AQ80" s="2" t="s">
        <v>4072</v>
      </c>
      <c r="AT80" s="3">
        <v>42949</v>
      </c>
      <c r="AU80">
        <v>1.67</v>
      </c>
      <c r="AV80">
        <v>1.71</v>
      </c>
      <c r="AW80">
        <v>1.66</v>
      </c>
      <c r="AX80">
        <v>1.68</v>
      </c>
      <c r="AY80">
        <v>1.68</v>
      </c>
      <c r="AZ80" s="2" t="s">
        <v>4155</v>
      </c>
      <c r="BC80" s="3">
        <v>42948</v>
      </c>
      <c r="BD80">
        <v>1.71</v>
      </c>
      <c r="BE80">
        <v>1.74</v>
      </c>
      <c r="BF80">
        <v>1.7</v>
      </c>
      <c r="BG80">
        <v>1.73</v>
      </c>
      <c r="BH80">
        <v>1.73</v>
      </c>
      <c r="BI80" s="2" t="s">
        <v>4238</v>
      </c>
      <c r="BL80" s="3">
        <v>42949</v>
      </c>
      <c r="BM80">
        <v>9.5500000000000007</v>
      </c>
      <c r="BN80">
        <v>9.56</v>
      </c>
      <c r="BO80">
        <v>9.4499999999999993</v>
      </c>
      <c r="BP80">
        <v>9.48</v>
      </c>
      <c r="BQ80">
        <v>9.48</v>
      </c>
      <c r="BR80" s="2" t="s">
        <v>4314</v>
      </c>
      <c r="BU80" s="3">
        <v>42949</v>
      </c>
      <c r="BV80">
        <v>1.19</v>
      </c>
      <c r="BW80">
        <v>1.2</v>
      </c>
      <c r="BX80">
        <v>1.18</v>
      </c>
      <c r="BY80">
        <v>1.19</v>
      </c>
      <c r="BZ80">
        <v>1.17</v>
      </c>
      <c r="CA80" s="2" t="s">
        <v>4397</v>
      </c>
      <c r="CD80" s="3">
        <v>42949</v>
      </c>
      <c r="CE80">
        <v>6.39</v>
      </c>
      <c r="CF80">
        <v>6.46</v>
      </c>
      <c r="CG80">
        <v>6.23</v>
      </c>
      <c r="CH80">
        <v>6.45</v>
      </c>
      <c r="CI80">
        <v>6.45</v>
      </c>
      <c r="CJ80" s="2" t="s">
        <v>4467</v>
      </c>
      <c r="CM80" s="3">
        <v>42948</v>
      </c>
      <c r="CN80">
        <v>1.1200000000000001</v>
      </c>
      <c r="CO80">
        <v>1.1499999999999999</v>
      </c>
      <c r="CP80">
        <v>1.1100000000000001</v>
      </c>
      <c r="CQ80">
        <v>1.1200000000000001</v>
      </c>
      <c r="CR80">
        <v>1.1200000000000001</v>
      </c>
      <c r="CS80" s="2" t="s">
        <v>4551</v>
      </c>
      <c r="CV80" s="3">
        <v>42949</v>
      </c>
      <c r="CW80">
        <v>13.46</v>
      </c>
      <c r="CX80">
        <v>13.5</v>
      </c>
      <c r="CY80">
        <v>13.42</v>
      </c>
      <c r="CZ80">
        <v>13.44</v>
      </c>
      <c r="DA80">
        <v>13.44</v>
      </c>
      <c r="DB80" s="2" t="s">
        <v>4634</v>
      </c>
    </row>
    <row r="81" spans="10:106" x14ac:dyDescent="0.4">
      <c r="J81" s="3">
        <v>42949</v>
      </c>
      <c r="K81">
        <v>0.64</v>
      </c>
      <c r="L81">
        <v>0.66</v>
      </c>
      <c r="M81">
        <v>0.62</v>
      </c>
      <c r="N81">
        <v>0.65</v>
      </c>
      <c r="O81">
        <v>0.65</v>
      </c>
      <c r="P81" s="2" t="s">
        <v>3834</v>
      </c>
      <c r="S81" s="3">
        <v>42950</v>
      </c>
      <c r="T81">
        <v>72.5</v>
      </c>
      <c r="U81">
        <v>72.5</v>
      </c>
      <c r="V81">
        <v>72</v>
      </c>
      <c r="W81">
        <v>72.099999999999994</v>
      </c>
      <c r="X81">
        <v>71.930000000000007</v>
      </c>
      <c r="Y81" s="2" t="s">
        <v>3905</v>
      </c>
      <c r="AB81" s="3">
        <v>42950</v>
      </c>
      <c r="AC81">
        <v>2.85</v>
      </c>
      <c r="AD81">
        <v>2.86</v>
      </c>
      <c r="AE81">
        <v>2.83</v>
      </c>
      <c r="AF81">
        <v>2.84</v>
      </c>
      <c r="AG81">
        <v>2.84</v>
      </c>
      <c r="AH81" s="2" t="s">
        <v>3988</v>
      </c>
      <c r="AK81" s="3">
        <v>42950</v>
      </c>
      <c r="AL81">
        <v>7.24</v>
      </c>
      <c r="AM81">
        <v>7.31</v>
      </c>
      <c r="AN81">
        <v>7.16</v>
      </c>
      <c r="AO81">
        <v>7.24</v>
      </c>
      <c r="AP81">
        <v>7.24</v>
      </c>
      <c r="AQ81" s="2" t="s">
        <v>4071</v>
      </c>
      <c r="AT81" s="3">
        <v>42950</v>
      </c>
      <c r="AU81">
        <v>1.68</v>
      </c>
      <c r="AV81">
        <v>1.71</v>
      </c>
      <c r="AW81">
        <v>1.67</v>
      </c>
      <c r="AX81">
        <v>1.71</v>
      </c>
      <c r="AY81">
        <v>1.71</v>
      </c>
      <c r="AZ81" s="2" t="s">
        <v>4154</v>
      </c>
      <c r="BC81" s="3">
        <v>42949</v>
      </c>
      <c r="BD81">
        <v>1.74</v>
      </c>
      <c r="BE81">
        <v>1.75</v>
      </c>
      <c r="BF81">
        <v>1.7</v>
      </c>
      <c r="BG81">
        <v>1.71</v>
      </c>
      <c r="BH81">
        <v>1.71</v>
      </c>
      <c r="BI81" s="2" t="s">
        <v>4237</v>
      </c>
      <c r="BL81" s="3">
        <v>42950</v>
      </c>
      <c r="BM81">
        <v>9.56</v>
      </c>
      <c r="BN81">
        <v>9.6199999999999992</v>
      </c>
      <c r="BO81">
        <v>9.48</v>
      </c>
      <c r="BP81">
        <v>9.5299999999999994</v>
      </c>
      <c r="BQ81">
        <v>9.5299999999999994</v>
      </c>
      <c r="BR81" s="2" t="s">
        <v>4313</v>
      </c>
      <c r="BU81" s="3">
        <v>42950</v>
      </c>
      <c r="BV81">
        <v>1.18</v>
      </c>
      <c r="BW81">
        <v>1.21</v>
      </c>
      <c r="BX81">
        <v>1.18</v>
      </c>
      <c r="BY81">
        <v>1.21</v>
      </c>
      <c r="BZ81">
        <v>1.19</v>
      </c>
      <c r="CA81" s="2" t="s">
        <v>4396</v>
      </c>
      <c r="CD81" s="3">
        <v>42950</v>
      </c>
      <c r="CE81">
        <v>6.4</v>
      </c>
      <c r="CF81">
        <v>6.42</v>
      </c>
      <c r="CG81">
        <v>6.35</v>
      </c>
      <c r="CH81">
        <v>6.41</v>
      </c>
      <c r="CI81">
        <v>6.41</v>
      </c>
      <c r="CJ81" s="2" t="s">
        <v>4466</v>
      </c>
      <c r="CM81" s="3">
        <v>42949</v>
      </c>
      <c r="CN81">
        <v>1.1299999999999999</v>
      </c>
      <c r="CO81">
        <v>1.1399999999999999</v>
      </c>
      <c r="CP81">
        <v>1.1200000000000001</v>
      </c>
      <c r="CQ81">
        <v>1.1299999999999999</v>
      </c>
      <c r="CR81">
        <v>1.1299999999999999</v>
      </c>
      <c r="CS81" s="2" t="s">
        <v>4550</v>
      </c>
      <c r="CV81" s="3">
        <v>42950</v>
      </c>
      <c r="CW81">
        <v>13.44</v>
      </c>
      <c r="CX81">
        <v>13.46</v>
      </c>
      <c r="CY81">
        <v>13.26</v>
      </c>
      <c r="CZ81">
        <v>13.26</v>
      </c>
      <c r="DA81">
        <v>13.26</v>
      </c>
      <c r="DB81" s="2" t="s">
        <v>4633</v>
      </c>
    </row>
    <row r="82" spans="10:106" x14ac:dyDescent="0.4">
      <c r="J82" s="3">
        <v>42950</v>
      </c>
      <c r="K82">
        <v>0.64</v>
      </c>
      <c r="L82">
        <v>0.64</v>
      </c>
      <c r="M82">
        <v>0.64</v>
      </c>
      <c r="N82">
        <v>0.64</v>
      </c>
      <c r="O82">
        <v>0.64</v>
      </c>
      <c r="P82" s="2" t="s">
        <v>3833</v>
      </c>
      <c r="S82" s="3">
        <v>42951</v>
      </c>
      <c r="T82">
        <v>72.099999999999994</v>
      </c>
      <c r="U82">
        <v>72.5</v>
      </c>
      <c r="V82">
        <v>72</v>
      </c>
      <c r="W82">
        <v>72.2</v>
      </c>
      <c r="X82">
        <v>72.03</v>
      </c>
      <c r="Y82" s="2" t="s">
        <v>3904</v>
      </c>
      <c r="AB82" s="3">
        <v>42951</v>
      </c>
      <c r="AC82">
        <v>2.85</v>
      </c>
      <c r="AD82">
        <v>2.86</v>
      </c>
      <c r="AE82">
        <v>2.83</v>
      </c>
      <c r="AF82">
        <v>2.84</v>
      </c>
      <c r="AG82">
        <v>2.84</v>
      </c>
      <c r="AH82" s="2" t="s">
        <v>3987</v>
      </c>
      <c r="AK82" s="3">
        <v>42951</v>
      </c>
      <c r="AL82">
        <v>7.21</v>
      </c>
      <c r="AM82">
        <v>7.3</v>
      </c>
      <c r="AN82">
        <v>7.18</v>
      </c>
      <c r="AO82">
        <v>7.19</v>
      </c>
      <c r="AP82">
        <v>7.19</v>
      </c>
      <c r="AQ82" s="2" t="s">
        <v>4070</v>
      </c>
      <c r="AT82" s="3">
        <v>42951</v>
      </c>
      <c r="AU82">
        <v>1.72</v>
      </c>
      <c r="AV82">
        <v>1.75</v>
      </c>
      <c r="AW82">
        <v>1.7</v>
      </c>
      <c r="AX82">
        <v>1.72</v>
      </c>
      <c r="AY82">
        <v>1.72</v>
      </c>
      <c r="AZ82" s="2" t="s">
        <v>4153</v>
      </c>
      <c r="BC82" s="3">
        <v>42950</v>
      </c>
      <c r="BD82">
        <v>1.71</v>
      </c>
      <c r="BE82">
        <v>1.74</v>
      </c>
      <c r="BF82">
        <v>1.71</v>
      </c>
      <c r="BG82">
        <v>1.72</v>
      </c>
      <c r="BH82">
        <v>1.72</v>
      </c>
      <c r="BI82" s="2" t="s">
        <v>3859</v>
      </c>
      <c r="BL82" s="3">
        <v>42951</v>
      </c>
      <c r="BM82">
        <v>9.58</v>
      </c>
      <c r="BN82">
        <v>9.67</v>
      </c>
      <c r="BO82">
        <v>9.5</v>
      </c>
      <c r="BP82">
        <v>9.57</v>
      </c>
      <c r="BQ82">
        <v>9.57</v>
      </c>
      <c r="BR82" s="2" t="s">
        <v>4312</v>
      </c>
      <c r="BU82" s="3">
        <v>42951</v>
      </c>
      <c r="BV82">
        <v>1.2</v>
      </c>
      <c r="BW82">
        <v>1.2</v>
      </c>
      <c r="BX82">
        <v>1.19</v>
      </c>
      <c r="BY82">
        <v>1.19</v>
      </c>
      <c r="BZ82">
        <v>1.17</v>
      </c>
      <c r="CA82" s="2" t="s">
        <v>4395</v>
      </c>
      <c r="CD82" s="3">
        <v>42951</v>
      </c>
      <c r="CE82">
        <v>6.41</v>
      </c>
      <c r="CF82">
        <v>6.78</v>
      </c>
      <c r="CG82">
        <v>6.38</v>
      </c>
      <c r="CH82">
        <v>6.62</v>
      </c>
      <c r="CI82">
        <v>6.62</v>
      </c>
      <c r="CJ82" s="2" t="s">
        <v>4465</v>
      </c>
      <c r="CM82" s="3">
        <v>42950</v>
      </c>
      <c r="CN82">
        <v>1.1200000000000001</v>
      </c>
      <c r="CO82">
        <v>1.1399999999999999</v>
      </c>
      <c r="CP82">
        <v>1.1200000000000001</v>
      </c>
      <c r="CQ82">
        <v>1.1399999999999999</v>
      </c>
      <c r="CR82">
        <v>1.1399999999999999</v>
      </c>
      <c r="CS82" s="2" t="s">
        <v>4549</v>
      </c>
      <c r="CV82" s="3">
        <v>42951</v>
      </c>
      <c r="CW82">
        <v>13.26</v>
      </c>
      <c r="CX82">
        <v>13.32</v>
      </c>
      <c r="CY82">
        <v>13.18</v>
      </c>
      <c r="CZ82">
        <v>13.2</v>
      </c>
      <c r="DA82">
        <v>13.2</v>
      </c>
      <c r="DB82" s="2" t="s">
        <v>4632</v>
      </c>
    </row>
    <row r="83" spans="10:106" x14ac:dyDescent="0.4">
      <c r="J83" s="3">
        <v>42951</v>
      </c>
      <c r="K83">
        <v>0.64</v>
      </c>
      <c r="L83">
        <v>0.65</v>
      </c>
      <c r="M83">
        <v>0.64</v>
      </c>
      <c r="N83">
        <v>0.65</v>
      </c>
      <c r="O83">
        <v>0.65</v>
      </c>
      <c r="P83" s="2" t="s">
        <v>3832</v>
      </c>
      <c r="S83" s="3">
        <v>42954</v>
      </c>
      <c r="T83">
        <v>72.400000000000006</v>
      </c>
      <c r="U83">
        <v>72.5</v>
      </c>
      <c r="V83">
        <v>72</v>
      </c>
      <c r="W83">
        <v>72.2</v>
      </c>
      <c r="X83">
        <v>72.03</v>
      </c>
      <c r="Y83" s="2" t="s">
        <v>3903</v>
      </c>
      <c r="AB83" s="3">
        <v>42954</v>
      </c>
      <c r="AC83">
        <v>2.84</v>
      </c>
      <c r="AD83">
        <v>2.86</v>
      </c>
      <c r="AE83">
        <v>2.83</v>
      </c>
      <c r="AF83">
        <v>2.85</v>
      </c>
      <c r="AG83">
        <v>2.85</v>
      </c>
      <c r="AH83" s="2" t="s">
        <v>3986</v>
      </c>
      <c r="AK83" s="3">
        <v>42954</v>
      </c>
      <c r="AL83">
        <v>7.19</v>
      </c>
      <c r="AM83">
        <v>7.36</v>
      </c>
      <c r="AN83">
        <v>7.18</v>
      </c>
      <c r="AO83">
        <v>7.28</v>
      </c>
      <c r="AP83">
        <v>7.28</v>
      </c>
      <c r="AQ83" s="2" t="s">
        <v>4069</v>
      </c>
      <c r="AT83" s="3">
        <v>42954</v>
      </c>
      <c r="AU83">
        <v>1.72</v>
      </c>
      <c r="AV83">
        <v>1.72</v>
      </c>
      <c r="AW83">
        <v>1.69</v>
      </c>
      <c r="AX83">
        <v>1.69</v>
      </c>
      <c r="AY83">
        <v>1.69</v>
      </c>
      <c r="AZ83" s="2" t="s">
        <v>4152</v>
      </c>
      <c r="BC83" s="3">
        <v>42951</v>
      </c>
      <c r="BD83">
        <v>1.74</v>
      </c>
      <c r="BE83">
        <v>1.77</v>
      </c>
      <c r="BF83">
        <v>1.74</v>
      </c>
      <c r="BG83">
        <v>1.75</v>
      </c>
      <c r="BH83">
        <v>1.75</v>
      </c>
      <c r="BI83" s="2" t="s">
        <v>4236</v>
      </c>
      <c r="BL83" s="3">
        <v>42954</v>
      </c>
      <c r="BM83">
        <v>9.6</v>
      </c>
      <c r="BN83">
        <v>9.73</v>
      </c>
      <c r="BO83">
        <v>9.5500000000000007</v>
      </c>
      <c r="BP83">
        <v>9.64</v>
      </c>
      <c r="BQ83">
        <v>9.64</v>
      </c>
      <c r="BR83" s="2" t="s">
        <v>4311</v>
      </c>
      <c r="BU83" s="3">
        <v>42954</v>
      </c>
      <c r="BV83">
        <v>1.19</v>
      </c>
      <c r="BW83">
        <v>1.21</v>
      </c>
      <c r="BX83">
        <v>1.19</v>
      </c>
      <c r="BY83">
        <v>1.19</v>
      </c>
      <c r="BZ83">
        <v>1.17</v>
      </c>
      <c r="CA83" s="2" t="s">
        <v>4394</v>
      </c>
      <c r="CD83" s="3">
        <v>42954</v>
      </c>
      <c r="CE83">
        <v>6.58</v>
      </c>
      <c r="CF83">
        <v>6.59</v>
      </c>
      <c r="CG83">
        <v>6.46</v>
      </c>
      <c r="CH83">
        <v>6.5</v>
      </c>
      <c r="CI83">
        <v>6.5</v>
      </c>
      <c r="CJ83" s="2" t="s">
        <v>4464</v>
      </c>
      <c r="CM83" s="3">
        <v>42951</v>
      </c>
      <c r="CN83">
        <v>1.1399999999999999</v>
      </c>
      <c r="CO83">
        <v>1.1499999999999999</v>
      </c>
      <c r="CP83">
        <v>1.1299999999999999</v>
      </c>
      <c r="CQ83">
        <v>1.1399999999999999</v>
      </c>
      <c r="CR83">
        <v>1.1399999999999999</v>
      </c>
      <c r="CS83" s="2" t="s">
        <v>4548</v>
      </c>
      <c r="CV83" s="3">
        <v>42954</v>
      </c>
      <c r="CW83">
        <v>13.2</v>
      </c>
      <c r="CX83">
        <v>13.28</v>
      </c>
      <c r="CY83">
        <v>13.14</v>
      </c>
      <c r="CZ83">
        <v>13.26</v>
      </c>
      <c r="DA83">
        <v>13.26</v>
      </c>
      <c r="DB83" s="2" t="s">
        <v>4631</v>
      </c>
    </row>
    <row r="84" spans="10:106" x14ac:dyDescent="0.4">
      <c r="J84" s="3">
        <v>42954</v>
      </c>
      <c r="K84">
        <v>0.64</v>
      </c>
      <c r="L84">
        <v>0.65</v>
      </c>
      <c r="M84">
        <v>0.64</v>
      </c>
      <c r="N84">
        <v>0.65</v>
      </c>
      <c r="O84">
        <v>0.65</v>
      </c>
      <c r="P84" s="2" t="s">
        <v>3831</v>
      </c>
      <c r="S84" s="3">
        <v>42955</v>
      </c>
      <c r="T84">
        <v>72.3</v>
      </c>
      <c r="U84">
        <v>72.3</v>
      </c>
      <c r="V84">
        <v>72.05</v>
      </c>
      <c r="W84">
        <v>72.2</v>
      </c>
      <c r="X84">
        <v>72.03</v>
      </c>
      <c r="Y84" s="2" t="s">
        <v>3902</v>
      </c>
      <c r="AB84" s="3">
        <v>42955</v>
      </c>
      <c r="AC84">
        <v>2.85</v>
      </c>
      <c r="AD84">
        <v>2.87</v>
      </c>
      <c r="AE84">
        <v>2.84</v>
      </c>
      <c r="AF84">
        <v>2.86</v>
      </c>
      <c r="AG84">
        <v>2.86</v>
      </c>
      <c r="AH84" s="2" t="s">
        <v>3985</v>
      </c>
      <c r="AK84" s="3">
        <v>42955</v>
      </c>
      <c r="AL84">
        <v>7.34</v>
      </c>
      <c r="AM84">
        <v>7.47</v>
      </c>
      <c r="AN84">
        <v>7.2</v>
      </c>
      <c r="AO84">
        <v>7.42</v>
      </c>
      <c r="AP84">
        <v>7.42</v>
      </c>
      <c r="AQ84" s="2" t="s">
        <v>4068</v>
      </c>
      <c r="AT84" s="3">
        <v>42955</v>
      </c>
      <c r="AU84">
        <v>1.7</v>
      </c>
      <c r="AV84">
        <v>1.74</v>
      </c>
      <c r="AW84">
        <v>1.68</v>
      </c>
      <c r="AX84">
        <v>1.72</v>
      </c>
      <c r="AY84">
        <v>1.72</v>
      </c>
      <c r="AZ84" s="2" t="s">
        <v>4151</v>
      </c>
      <c r="BC84" s="3">
        <v>42954</v>
      </c>
      <c r="BD84">
        <v>1.75</v>
      </c>
      <c r="BE84">
        <v>1.77</v>
      </c>
      <c r="BF84">
        <v>1.7</v>
      </c>
      <c r="BG84">
        <v>1.77</v>
      </c>
      <c r="BH84">
        <v>1.77</v>
      </c>
      <c r="BI84" s="2" t="s">
        <v>4235</v>
      </c>
      <c r="BL84" s="3">
        <v>42955</v>
      </c>
      <c r="BM84">
        <v>9.6</v>
      </c>
      <c r="BN84">
        <v>9.65</v>
      </c>
      <c r="BO84">
        <v>9.41</v>
      </c>
      <c r="BP84">
        <v>9.5399999999999991</v>
      </c>
      <c r="BQ84">
        <v>9.5399999999999991</v>
      </c>
      <c r="BR84" s="2" t="s">
        <v>4310</v>
      </c>
      <c r="BU84" s="3">
        <v>42955</v>
      </c>
      <c r="BV84">
        <v>1.19</v>
      </c>
      <c r="BW84">
        <v>1.2</v>
      </c>
      <c r="BX84">
        <v>1.19</v>
      </c>
      <c r="BY84">
        <v>1.2</v>
      </c>
      <c r="BZ84">
        <v>1.18</v>
      </c>
      <c r="CA84" s="2" t="s">
        <v>4393</v>
      </c>
      <c r="CD84" s="3">
        <v>42955</v>
      </c>
      <c r="CE84">
        <v>6.53</v>
      </c>
      <c r="CF84">
        <v>6.56</v>
      </c>
      <c r="CG84">
        <v>6.48</v>
      </c>
      <c r="CH84">
        <v>6.5</v>
      </c>
      <c r="CI84">
        <v>6.5</v>
      </c>
      <c r="CJ84" s="2" t="s">
        <v>4463</v>
      </c>
      <c r="CM84" s="3">
        <v>42954</v>
      </c>
      <c r="CN84">
        <v>1.1499999999999999</v>
      </c>
      <c r="CO84">
        <v>1.1599999999999999</v>
      </c>
      <c r="CP84">
        <v>1.1399999999999999</v>
      </c>
      <c r="CQ84">
        <v>1.1599999999999999</v>
      </c>
      <c r="CR84">
        <v>1.1599999999999999</v>
      </c>
      <c r="CS84" s="2" t="s">
        <v>4547</v>
      </c>
      <c r="CV84" s="3">
        <v>42955</v>
      </c>
      <c r="CW84">
        <v>13.22</v>
      </c>
      <c r="CX84">
        <v>13.28</v>
      </c>
      <c r="CY84">
        <v>13.2</v>
      </c>
      <c r="CZ84">
        <v>13.26</v>
      </c>
      <c r="DA84">
        <v>13.26</v>
      </c>
      <c r="DB84" s="2" t="s">
        <v>4630</v>
      </c>
    </row>
    <row r="85" spans="10:106" x14ac:dyDescent="0.4">
      <c r="J85" s="3">
        <v>42955</v>
      </c>
      <c r="K85">
        <v>0.64</v>
      </c>
      <c r="L85">
        <v>0.65</v>
      </c>
      <c r="M85">
        <v>0.63</v>
      </c>
      <c r="N85">
        <v>0.65</v>
      </c>
      <c r="O85">
        <v>0.65</v>
      </c>
      <c r="P85" s="2" t="s">
        <v>3830</v>
      </c>
      <c r="S85" s="3">
        <v>42956</v>
      </c>
      <c r="T85">
        <v>72.3</v>
      </c>
      <c r="U85">
        <v>72.45</v>
      </c>
      <c r="V85">
        <v>72.05</v>
      </c>
      <c r="W85">
        <v>72.099999999999994</v>
      </c>
      <c r="X85">
        <v>71.930000000000007</v>
      </c>
      <c r="Y85" s="2" t="s">
        <v>3901</v>
      </c>
      <c r="AB85" s="3">
        <v>42956</v>
      </c>
      <c r="AC85">
        <v>2.86</v>
      </c>
      <c r="AD85">
        <v>2.87</v>
      </c>
      <c r="AE85">
        <v>2.84</v>
      </c>
      <c r="AF85">
        <v>2.85</v>
      </c>
      <c r="AG85">
        <v>2.85</v>
      </c>
      <c r="AH85" s="2" t="s">
        <v>3984</v>
      </c>
      <c r="AK85" s="3">
        <v>42956</v>
      </c>
      <c r="AL85">
        <v>7.4</v>
      </c>
      <c r="AM85">
        <v>7.49</v>
      </c>
      <c r="AN85">
        <v>7.25</v>
      </c>
      <c r="AO85">
        <v>7.27</v>
      </c>
      <c r="AP85">
        <v>7.27</v>
      </c>
      <c r="AQ85" s="2" t="s">
        <v>4067</v>
      </c>
      <c r="AT85" s="3">
        <v>42956</v>
      </c>
      <c r="AU85">
        <v>1.7</v>
      </c>
      <c r="AV85">
        <v>1.72</v>
      </c>
      <c r="AW85">
        <v>1.65</v>
      </c>
      <c r="AX85">
        <v>1.67</v>
      </c>
      <c r="AY85">
        <v>1.67</v>
      </c>
      <c r="AZ85" s="2" t="s">
        <v>4150</v>
      </c>
      <c r="BC85" s="3">
        <v>42955</v>
      </c>
      <c r="BD85">
        <v>1.74</v>
      </c>
      <c r="BE85">
        <v>1.75</v>
      </c>
      <c r="BF85">
        <v>1.71</v>
      </c>
      <c r="BG85">
        <v>1.71</v>
      </c>
      <c r="BH85">
        <v>1.71</v>
      </c>
      <c r="BI85" s="2" t="s">
        <v>4234</v>
      </c>
      <c r="BL85" s="3">
        <v>42956</v>
      </c>
      <c r="BM85">
        <v>9.4</v>
      </c>
      <c r="BN85">
        <v>9.5299999999999994</v>
      </c>
      <c r="BO85">
        <v>9.1</v>
      </c>
      <c r="BP85">
        <v>9.4499999999999993</v>
      </c>
      <c r="BQ85">
        <v>9.4499999999999993</v>
      </c>
      <c r="BR85" s="2" t="s">
        <v>4309</v>
      </c>
      <c r="BU85" s="3">
        <v>42956</v>
      </c>
      <c r="BV85">
        <v>1.19</v>
      </c>
      <c r="BW85">
        <v>1.19</v>
      </c>
      <c r="BX85">
        <v>1.17</v>
      </c>
      <c r="BY85">
        <v>1.19</v>
      </c>
      <c r="BZ85">
        <v>1.17</v>
      </c>
      <c r="CA85" s="2" t="s">
        <v>4392</v>
      </c>
      <c r="CD85" s="3">
        <v>42956</v>
      </c>
      <c r="CE85">
        <v>6.55</v>
      </c>
      <c r="CF85">
        <v>6.66</v>
      </c>
      <c r="CG85">
        <v>6.53</v>
      </c>
      <c r="CH85">
        <v>6.59</v>
      </c>
      <c r="CI85">
        <v>6.59</v>
      </c>
      <c r="CJ85" s="2" t="s">
        <v>4462</v>
      </c>
      <c r="CM85" s="3">
        <v>42955</v>
      </c>
      <c r="CN85">
        <v>1.1599999999999999</v>
      </c>
      <c r="CO85">
        <v>1.17</v>
      </c>
      <c r="CP85">
        <v>1.1499999999999999</v>
      </c>
      <c r="CQ85">
        <v>1.17</v>
      </c>
      <c r="CR85">
        <v>1.17</v>
      </c>
      <c r="CS85" s="2" t="s">
        <v>4546</v>
      </c>
      <c r="CV85" s="3">
        <v>42956</v>
      </c>
      <c r="CW85">
        <v>13.24</v>
      </c>
      <c r="CX85">
        <v>13.26</v>
      </c>
      <c r="CY85">
        <v>13.2</v>
      </c>
      <c r="CZ85">
        <v>13.2</v>
      </c>
      <c r="DA85">
        <v>13.2</v>
      </c>
      <c r="DB85" s="2" t="s">
        <v>4629</v>
      </c>
    </row>
    <row r="86" spans="10:106" x14ac:dyDescent="0.4">
      <c r="J86" s="3">
        <v>42956</v>
      </c>
      <c r="K86">
        <v>0.63</v>
      </c>
      <c r="L86">
        <v>0.63</v>
      </c>
      <c r="M86">
        <v>0.62</v>
      </c>
      <c r="N86">
        <v>0.63</v>
      </c>
      <c r="O86">
        <v>0.63</v>
      </c>
      <c r="P86" s="2" t="s">
        <v>3898</v>
      </c>
      <c r="S86" s="3">
        <v>42957</v>
      </c>
      <c r="T86">
        <v>72.3</v>
      </c>
      <c r="U86">
        <v>72.3</v>
      </c>
      <c r="V86">
        <v>72</v>
      </c>
      <c r="W86">
        <v>72</v>
      </c>
      <c r="X86">
        <v>71.83</v>
      </c>
      <c r="Y86" s="2" t="s">
        <v>4714</v>
      </c>
      <c r="AB86" s="3">
        <v>42957</v>
      </c>
      <c r="AC86">
        <v>2.85</v>
      </c>
      <c r="AD86">
        <v>2.86</v>
      </c>
      <c r="AE86">
        <v>2.82</v>
      </c>
      <c r="AF86">
        <v>2.84</v>
      </c>
      <c r="AG86">
        <v>2.84</v>
      </c>
      <c r="AH86" s="2" t="s">
        <v>4715</v>
      </c>
      <c r="AK86" s="3">
        <v>42957</v>
      </c>
      <c r="AL86">
        <v>7.29</v>
      </c>
      <c r="AM86">
        <v>7.34</v>
      </c>
      <c r="AN86">
        <v>7.14</v>
      </c>
      <c r="AO86">
        <v>7.15</v>
      </c>
      <c r="AP86">
        <v>7.15</v>
      </c>
      <c r="AQ86" s="2" t="s">
        <v>4716</v>
      </c>
      <c r="AT86" s="3">
        <v>42957</v>
      </c>
      <c r="AU86">
        <v>1.67</v>
      </c>
      <c r="AV86">
        <v>1.69</v>
      </c>
      <c r="AW86">
        <v>1.64</v>
      </c>
      <c r="AX86">
        <v>1.65</v>
      </c>
      <c r="AY86">
        <v>1.65</v>
      </c>
      <c r="AZ86" s="2" t="s">
        <v>4717</v>
      </c>
      <c r="BC86" s="3">
        <v>42956</v>
      </c>
      <c r="BD86">
        <v>1.71</v>
      </c>
      <c r="BE86">
        <v>1.71</v>
      </c>
      <c r="BF86">
        <v>1.68</v>
      </c>
      <c r="BG86">
        <v>1.7</v>
      </c>
      <c r="BH86">
        <v>1.7</v>
      </c>
      <c r="BI86" s="2" t="s">
        <v>4233</v>
      </c>
      <c r="BL86" s="3">
        <v>42957</v>
      </c>
      <c r="BM86">
        <v>9.4</v>
      </c>
      <c r="BN86">
        <v>9.4600000000000009</v>
      </c>
      <c r="BO86">
        <v>9.1300000000000008</v>
      </c>
      <c r="BP86">
        <v>9.4</v>
      </c>
      <c r="BQ86">
        <v>9.4</v>
      </c>
      <c r="BR86" s="2" t="s">
        <v>4719</v>
      </c>
      <c r="BU86" s="3">
        <v>42957</v>
      </c>
      <c r="BV86">
        <v>1.19</v>
      </c>
      <c r="BW86">
        <v>1.19</v>
      </c>
      <c r="BX86">
        <v>1.17</v>
      </c>
      <c r="BY86">
        <v>1.19</v>
      </c>
      <c r="BZ86">
        <v>1.17</v>
      </c>
      <c r="CA86" s="2" t="s">
        <v>4435</v>
      </c>
      <c r="CD86" s="3">
        <v>42957</v>
      </c>
      <c r="CE86">
        <v>6.7</v>
      </c>
      <c r="CF86">
        <v>6.74</v>
      </c>
      <c r="CG86">
        <v>6.57</v>
      </c>
      <c r="CH86">
        <v>6.69</v>
      </c>
      <c r="CI86">
        <v>6.69</v>
      </c>
      <c r="CJ86" s="2" t="s">
        <v>4720</v>
      </c>
      <c r="CM86" s="3">
        <v>42956</v>
      </c>
      <c r="CN86">
        <v>1.17</v>
      </c>
      <c r="CO86">
        <v>1.17</v>
      </c>
      <c r="CP86">
        <v>1.1399999999999999</v>
      </c>
      <c r="CQ86">
        <v>1.1499999999999999</v>
      </c>
      <c r="CR86">
        <v>1.1499999999999999</v>
      </c>
      <c r="CS86" s="2" t="s">
        <v>4545</v>
      </c>
      <c r="CV86" s="3">
        <v>42957</v>
      </c>
      <c r="CW86">
        <v>13.2</v>
      </c>
      <c r="CX86">
        <v>13.3</v>
      </c>
      <c r="CY86">
        <v>13.04</v>
      </c>
      <c r="CZ86">
        <v>13.12</v>
      </c>
      <c r="DA86">
        <v>13.12</v>
      </c>
      <c r="DB86" s="2" t="s">
        <v>4734</v>
      </c>
    </row>
    <row r="87" spans="10:106" x14ac:dyDescent="0.4">
      <c r="J87" s="3">
        <v>42957</v>
      </c>
      <c r="K87">
        <v>0.62</v>
      </c>
      <c r="L87">
        <v>0.64</v>
      </c>
      <c r="M87">
        <v>0.6</v>
      </c>
      <c r="N87">
        <v>0.64</v>
      </c>
      <c r="O87">
        <v>0.64</v>
      </c>
      <c r="P87" s="2" t="s">
        <v>4457</v>
      </c>
      <c r="S87" s="3">
        <v>42958</v>
      </c>
      <c r="T87">
        <v>72</v>
      </c>
      <c r="U87">
        <v>72.099999999999994</v>
      </c>
      <c r="V87">
        <v>71.400000000000006</v>
      </c>
      <c r="W87">
        <v>71.5</v>
      </c>
      <c r="X87">
        <v>71.33</v>
      </c>
      <c r="Y87" s="2" t="s">
        <v>4724</v>
      </c>
      <c r="AB87" s="3">
        <v>42958</v>
      </c>
      <c r="AC87">
        <v>2.81</v>
      </c>
      <c r="AD87">
        <v>2.82</v>
      </c>
      <c r="AE87">
        <v>2.79</v>
      </c>
      <c r="AF87">
        <v>2.81</v>
      </c>
      <c r="AG87">
        <v>2.81</v>
      </c>
      <c r="AH87" s="2" t="s">
        <v>4725</v>
      </c>
      <c r="AK87" s="3">
        <v>42958</v>
      </c>
      <c r="AL87">
        <v>7.08</v>
      </c>
      <c r="AM87">
        <v>7.13</v>
      </c>
      <c r="AN87">
        <v>6.92</v>
      </c>
      <c r="AO87">
        <v>6.98</v>
      </c>
      <c r="AP87">
        <v>6.98</v>
      </c>
      <c r="AQ87" s="2" t="s">
        <v>4726</v>
      </c>
      <c r="AT87" s="3">
        <v>42958</v>
      </c>
      <c r="AU87">
        <v>1.65</v>
      </c>
      <c r="AV87">
        <v>1.66</v>
      </c>
      <c r="AW87">
        <v>1.6</v>
      </c>
      <c r="AX87">
        <v>1.66</v>
      </c>
      <c r="AY87">
        <v>1.66</v>
      </c>
      <c r="AZ87" s="2" t="s">
        <v>4727</v>
      </c>
      <c r="BC87" s="3">
        <v>42957</v>
      </c>
      <c r="BD87">
        <v>1.69</v>
      </c>
      <c r="BE87">
        <v>1.7</v>
      </c>
      <c r="BF87">
        <v>1.68</v>
      </c>
      <c r="BG87">
        <v>1.69</v>
      </c>
      <c r="BH87">
        <v>1.69</v>
      </c>
      <c r="BI87" s="2" t="s">
        <v>4718</v>
      </c>
      <c r="BL87" s="3">
        <v>42958</v>
      </c>
      <c r="BM87">
        <v>9.2799999999999994</v>
      </c>
      <c r="BN87">
        <v>9.34</v>
      </c>
      <c r="BO87">
        <v>9.19</v>
      </c>
      <c r="BP87">
        <v>9.25</v>
      </c>
      <c r="BQ87">
        <v>9.25</v>
      </c>
      <c r="BR87" s="2" t="s">
        <v>4729</v>
      </c>
      <c r="BU87" s="3">
        <v>42958</v>
      </c>
      <c r="BV87">
        <v>1.18</v>
      </c>
      <c r="BW87">
        <v>1.18</v>
      </c>
      <c r="BX87">
        <v>1.17</v>
      </c>
      <c r="BY87">
        <v>1.17</v>
      </c>
      <c r="BZ87">
        <v>1.1599999999999999</v>
      </c>
      <c r="CA87" s="2" t="s">
        <v>4730</v>
      </c>
      <c r="CD87" s="3">
        <v>42958</v>
      </c>
      <c r="CE87">
        <v>6.8</v>
      </c>
      <c r="CF87">
        <v>6.84</v>
      </c>
      <c r="CG87">
        <v>6.48</v>
      </c>
      <c r="CH87">
        <v>6.48</v>
      </c>
      <c r="CI87">
        <v>6.48</v>
      </c>
      <c r="CJ87" s="2" t="s">
        <v>4731</v>
      </c>
      <c r="CM87" s="3">
        <v>42957</v>
      </c>
      <c r="CN87">
        <v>1.1399999999999999</v>
      </c>
      <c r="CO87">
        <v>1.1499999999999999</v>
      </c>
      <c r="CP87">
        <v>1.1299999999999999</v>
      </c>
      <c r="CQ87">
        <v>1.1499999999999999</v>
      </c>
      <c r="CR87">
        <v>1.1499999999999999</v>
      </c>
      <c r="CS87" s="2" t="s">
        <v>4721</v>
      </c>
      <c r="CV87" s="3">
        <v>42958</v>
      </c>
      <c r="CW87">
        <v>13.04</v>
      </c>
      <c r="CX87">
        <v>13.1</v>
      </c>
      <c r="CY87">
        <v>12.82</v>
      </c>
      <c r="CZ87">
        <v>12.82</v>
      </c>
      <c r="DA87">
        <v>12.82</v>
      </c>
      <c r="DB87" s="2" t="s">
        <v>4733</v>
      </c>
    </row>
    <row r="88" spans="10:106" x14ac:dyDescent="0.4">
      <c r="J88" s="3">
        <v>42958</v>
      </c>
      <c r="K88">
        <v>0.6</v>
      </c>
      <c r="L88">
        <v>0.6</v>
      </c>
      <c r="M88">
        <v>0.6</v>
      </c>
      <c r="N88">
        <v>0.6</v>
      </c>
      <c r="O88">
        <v>0.6</v>
      </c>
      <c r="P88" s="2" t="s">
        <v>4723</v>
      </c>
      <c r="S88" s="3">
        <v>42961</v>
      </c>
      <c r="T88">
        <v>71.5</v>
      </c>
      <c r="U88">
        <v>71.55</v>
      </c>
      <c r="V88">
        <v>71.099999999999994</v>
      </c>
      <c r="W88">
        <v>71.5</v>
      </c>
      <c r="X88">
        <v>71.33</v>
      </c>
      <c r="Y88" s="2" t="s">
        <v>4750</v>
      </c>
      <c r="AB88" s="3">
        <v>42961</v>
      </c>
      <c r="AC88">
        <v>2.8</v>
      </c>
      <c r="AD88">
        <v>2.81</v>
      </c>
      <c r="AE88">
        <v>2.79</v>
      </c>
      <c r="AF88">
        <v>2.8</v>
      </c>
      <c r="AG88">
        <v>2.8</v>
      </c>
      <c r="AH88" s="2" t="s">
        <v>4759</v>
      </c>
      <c r="AK88" s="3">
        <v>42961</v>
      </c>
      <c r="AL88">
        <v>7</v>
      </c>
      <c r="AM88">
        <v>7.08</v>
      </c>
      <c r="AN88">
        <v>6.95</v>
      </c>
      <c r="AO88">
        <v>7.07</v>
      </c>
      <c r="AP88">
        <v>7.07</v>
      </c>
      <c r="AQ88" s="2" t="s">
        <v>4768</v>
      </c>
      <c r="AT88" s="3">
        <v>42961</v>
      </c>
      <c r="AU88">
        <v>1.66</v>
      </c>
      <c r="AV88">
        <v>1.72</v>
      </c>
      <c r="AW88">
        <v>1.65</v>
      </c>
      <c r="AX88">
        <v>1.69</v>
      </c>
      <c r="AY88">
        <v>1.69</v>
      </c>
      <c r="AZ88" s="2" t="s">
        <v>4776</v>
      </c>
      <c r="BC88" s="3">
        <v>42958</v>
      </c>
      <c r="BD88">
        <v>1.69</v>
      </c>
      <c r="BE88">
        <v>1.69</v>
      </c>
      <c r="BF88">
        <v>1.66</v>
      </c>
      <c r="BG88">
        <v>1.67</v>
      </c>
      <c r="BH88">
        <v>1.67</v>
      </c>
      <c r="BI88" s="2" t="s">
        <v>4728</v>
      </c>
      <c r="BL88" s="3">
        <v>42961</v>
      </c>
      <c r="BM88">
        <v>9.2100000000000009</v>
      </c>
      <c r="BN88">
        <v>9.33</v>
      </c>
      <c r="BO88">
        <v>9.14</v>
      </c>
      <c r="BP88">
        <v>9.16</v>
      </c>
      <c r="BQ88">
        <v>9.16</v>
      </c>
      <c r="BR88" s="2" t="s">
        <v>4788</v>
      </c>
      <c r="BU88" s="3">
        <v>42961</v>
      </c>
      <c r="BV88">
        <v>1.18</v>
      </c>
      <c r="BW88">
        <v>1.19</v>
      </c>
      <c r="BX88">
        <v>1.17</v>
      </c>
      <c r="BY88">
        <v>1.17</v>
      </c>
      <c r="BZ88">
        <v>1.1599999999999999</v>
      </c>
      <c r="CA88" s="2" t="s">
        <v>4794</v>
      </c>
      <c r="CD88" s="3">
        <v>42961</v>
      </c>
      <c r="CE88">
        <v>6.48</v>
      </c>
      <c r="CF88">
        <v>6.69</v>
      </c>
      <c r="CG88">
        <v>6.48</v>
      </c>
      <c r="CH88">
        <v>6.54</v>
      </c>
      <c r="CI88">
        <v>6.54</v>
      </c>
      <c r="CJ88" s="2" t="s">
        <v>4803</v>
      </c>
      <c r="CM88" s="3">
        <v>42958</v>
      </c>
      <c r="CN88">
        <v>1.1399999999999999</v>
      </c>
      <c r="CO88">
        <v>1.1399999999999999</v>
      </c>
      <c r="CP88">
        <v>1.1200000000000001</v>
      </c>
      <c r="CQ88">
        <v>1.1200000000000001</v>
      </c>
      <c r="CR88">
        <v>1.1200000000000001</v>
      </c>
      <c r="CS88" s="2" t="s">
        <v>4732</v>
      </c>
      <c r="CV88" s="3">
        <v>42961</v>
      </c>
      <c r="CW88">
        <v>12.88</v>
      </c>
      <c r="CX88">
        <v>13.06</v>
      </c>
      <c r="CY88">
        <v>12.88</v>
      </c>
      <c r="CZ88">
        <v>13.04</v>
      </c>
      <c r="DA88">
        <v>13.04</v>
      </c>
      <c r="DB88" s="2" t="s">
        <v>4821</v>
      </c>
    </row>
    <row r="89" spans="10:106" x14ac:dyDescent="0.4">
      <c r="J89" s="3">
        <v>42961</v>
      </c>
      <c r="K89">
        <v>0.6</v>
      </c>
      <c r="L89">
        <v>0.61</v>
      </c>
      <c r="M89">
        <v>0.59</v>
      </c>
      <c r="N89">
        <v>0.61</v>
      </c>
      <c r="O89">
        <v>0.61</v>
      </c>
      <c r="P89" s="2" t="s">
        <v>4741</v>
      </c>
      <c r="S89" s="3">
        <v>42962</v>
      </c>
      <c r="T89">
        <v>71.5</v>
      </c>
      <c r="U89">
        <v>71.5</v>
      </c>
      <c r="V89">
        <v>71.3</v>
      </c>
      <c r="W89">
        <v>71.45</v>
      </c>
      <c r="X89">
        <v>71.28</v>
      </c>
      <c r="Y89" s="2" t="s">
        <v>4749</v>
      </c>
      <c r="AB89" s="3">
        <v>42962</v>
      </c>
      <c r="AC89">
        <v>2.82</v>
      </c>
      <c r="AD89">
        <v>2.82</v>
      </c>
      <c r="AE89">
        <v>2.8</v>
      </c>
      <c r="AF89">
        <v>2.8</v>
      </c>
      <c r="AG89">
        <v>2.8</v>
      </c>
      <c r="AH89" s="2" t="s">
        <v>4758</v>
      </c>
      <c r="AK89" s="3">
        <v>42962</v>
      </c>
      <c r="AL89">
        <v>7.1</v>
      </c>
      <c r="AM89">
        <v>7.17</v>
      </c>
      <c r="AN89">
        <v>6.98</v>
      </c>
      <c r="AO89">
        <v>7</v>
      </c>
      <c r="AP89">
        <v>7</v>
      </c>
      <c r="AQ89" s="2" t="s">
        <v>4767</v>
      </c>
      <c r="AT89" s="3">
        <v>42962</v>
      </c>
      <c r="AU89">
        <v>1.8</v>
      </c>
      <c r="AV89">
        <v>1.87</v>
      </c>
      <c r="AW89">
        <v>1.77</v>
      </c>
      <c r="AX89">
        <v>1.83</v>
      </c>
      <c r="AY89">
        <v>1.83</v>
      </c>
      <c r="AZ89" s="2" t="s">
        <v>4775</v>
      </c>
      <c r="BC89" s="3">
        <v>42961</v>
      </c>
      <c r="BD89">
        <v>1.69</v>
      </c>
      <c r="BE89">
        <v>1.73</v>
      </c>
      <c r="BF89">
        <v>1.69</v>
      </c>
      <c r="BG89">
        <v>1.69</v>
      </c>
      <c r="BH89">
        <v>1.69</v>
      </c>
      <c r="BI89" s="2" t="s">
        <v>4779</v>
      </c>
      <c r="BL89" s="3">
        <v>42962</v>
      </c>
      <c r="BM89">
        <v>9.15</v>
      </c>
      <c r="BN89">
        <v>9.15</v>
      </c>
      <c r="BO89">
        <v>8.9700000000000006</v>
      </c>
      <c r="BP89">
        <v>8.9700000000000006</v>
      </c>
      <c r="BQ89">
        <v>8.9700000000000006</v>
      </c>
      <c r="BR89" s="2" t="s">
        <v>4787</v>
      </c>
      <c r="BU89" s="3">
        <v>42962</v>
      </c>
      <c r="BV89">
        <v>1.18</v>
      </c>
      <c r="BW89">
        <v>1.19</v>
      </c>
      <c r="BX89">
        <v>1.1599999999999999</v>
      </c>
      <c r="BY89">
        <v>1.18</v>
      </c>
      <c r="BZ89">
        <v>1.1599999999999999</v>
      </c>
      <c r="CA89" s="2" t="s">
        <v>4411</v>
      </c>
      <c r="CD89" s="3">
        <v>42962</v>
      </c>
      <c r="CE89">
        <v>6.53</v>
      </c>
      <c r="CF89">
        <v>6.53</v>
      </c>
      <c r="CG89">
        <v>6.38</v>
      </c>
      <c r="CH89">
        <v>6.4</v>
      </c>
      <c r="CI89">
        <v>6.4</v>
      </c>
      <c r="CJ89" s="2" t="s">
        <v>4802</v>
      </c>
      <c r="CM89" s="3">
        <v>42961</v>
      </c>
      <c r="CN89">
        <v>1.1299999999999999</v>
      </c>
      <c r="CO89">
        <v>1.17</v>
      </c>
      <c r="CP89">
        <v>1.1299999999999999</v>
      </c>
      <c r="CQ89">
        <v>1.17</v>
      </c>
      <c r="CR89">
        <v>1.17</v>
      </c>
      <c r="CS89" s="2" t="s">
        <v>4812</v>
      </c>
      <c r="CV89" s="3">
        <v>42962</v>
      </c>
      <c r="CW89">
        <v>13.06</v>
      </c>
      <c r="CX89">
        <v>13.2</v>
      </c>
      <c r="CY89">
        <v>13.04</v>
      </c>
      <c r="CZ89">
        <v>13.1</v>
      </c>
      <c r="DA89">
        <v>13.1</v>
      </c>
      <c r="DB89" s="2" t="s">
        <v>4820</v>
      </c>
    </row>
    <row r="90" spans="10:106" x14ac:dyDescent="0.4">
      <c r="J90" s="3">
        <v>42962</v>
      </c>
      <c r="K90">
        <v>0.59</v>
      </c>
      <c r="L90">
        <v>0.59</v>
      </c>
      <c r="M90">
        <v>0.59</v>
      </c>
      <c r="N90">
        <v>0.59</v>
      </c>
      <c r="O90">
        <v>0.59</v>
      </c>
      <c r="P90" s="2" t="s">
        <v>4740</v>
      </c>
      <c r="S90" s="3">
        <v>42963</v>
      </c>
      <c r="T90">
        <v>71.5</v>
      </c>
      <c r="U90">
        <v>71.5</v>
      </c>
      <c r="V90">
        <v>71.3</v>
      </c>
      <c r="W90">
        <v>71.5</v>
      </c>
      <c r="X90">
        <v>71.33</v>
      </c>
      <c r="Y90" s="2" t="s">
        <v>4748</v>
      </c>
      <c r="AB90" s="3">
        <v>42963</v>
      </c>
      <c r="AC90">
        <v>2.82</v>
      </c>
      <c r="AD90">
        <v>2.82</v>
      </c>
      <c r="AE90">
        <v>2.8</v>
      </c>
      <c r="AF90">
        <v>2.81</v>
      </c>
      <c r="AG90">
        <v>2.81</v>
      </c>
      <c r="AH90" s="2" t="s">
        <v>4757</v>
      </c>
      <c r="AK90" s="3">
        <v>42963</v>
      </c>
      <c r="AL90">
        <v>7</v>
      </c>
      <c r="AM90">
        <v>7.13</v>
      </c>
      <c r="AN90">
        <v>7</v>
      </c>
      <c r="AO90">
        <v>7.06</v>
      </c>
      <c r="AP90">
        <v>7.06</v>
      </c>
      <c r="AQ90" s="2" t="s">
        <v>4766</v>
      </c>
      <c r="AT90" s="3">
        <v>42963</v>
      </c>
      <c r="AU90">
        <v>1.82</v>
      </c>
      <c r="AV90">
        <v>1.82</v>
      </c>
      <c r="AW90">
        <v>1.76</v>
      </c>
      <c r="AX90">
        <v>1.77</v>
      </c>
      <c r="AY90">
        <v>1.77</v>
      </c>
      <c r="AZ90" s="2" t="s">
        <v>4774</v>
      </c>
      <c r="BC90" s="3">
        <v>42962</v>
      </c>
      <c r="BD90">
        <v>1.7</v>
      </c>
      <c r="BE90">
        <v>1.7</v>
      </c>
      <c r="BF90">
        <v>1.67</v>
      </c>
      <c r="BG90">
        <v>1.67</v>
      </c>
      <c r="BH90">
        <v>1.67</v>
      </c>
      <c r="BI90" s="2" t="s">
        <v>4406</v>
      </c>
      <c r="BL90" s="3">
        <v>42963</v>
      </c>
      <c r="BM90">
        <v>8.93</v>
      </c>
      <c r="BN90">
        <v>9.1199999999999992</v>
      </c>
      <c r="BO90">
        <v>8.93</v>
      </c>
      <c r="BP90">
        <v>9.08</v>
      </c>
      <c r="BQ90">
        <v>9.08</v>
      </c>
      <c r="BR90" s="2" t="s">
        <v>4786</v>
      </c>
      <c r="BU90" s="3">
        <v>42963</v>
      </c>
      <c r="BV90">
        <v>1.17</v>
      </c>
      <c r="BW90">
        <v>1.18</v>
      </c>
      <c r="BX90">
        <v>1.17</v>
      </c>
      <c r="BY90">
        <v>1.18</v>
      </c>
      <c r="BZ90">
        <v>1.1599999999999999</v>
      </c>
      <c r="CA90" s="2" t="s">
        <v>4793</v>
      </c>
      <c r="CD90" s="3">
        <v>42963</v>
      </c>
      <c r="CE90">
        <v>6.39</v>
      </c>
      <c r="CF90">
        <v>6.4</v>
      </c>
      <c r="CG90">
        <v>6.28</v>
      </c>
      <c r="CH90">
        <v>6.39</v>
      </c>
      <c r="CI90">
        <v>6.39</v>
      </c>
      <c r="CJ90" s="2" t="s">
        <v>4801</v>
      </c>
      <c r="CM90" s="3">
        <v>42962</v>
      </c>
      <c r="CN90">
        <v>1.1599999999999999</v>
      </c>
      <c r="CO90">
        <v>1.1599999999999999</v>
      </c>
      <c r="CP90">
        <v>1.1100000000000001</v>
      </c>
      <c r="CQ90">
        <v>1.1100000000000001</v>
      </c>
      <c r="CR90">
        <v>1.1100000000000001</v>
      </c>
      <c r="CS90" s="2" t="s">
        <v>4811</v>
      </c>
      <c r="CV90" s="3">
        <v>42963</v>
      </c>
      <c r="CW90">
        <v>13.12</v>
      </c>
      <c r="CX90">
        <v>13.12</v>
      </c>
      <c r="CY90">
        <v>13.02</v>
      </c>
      <c r="CZ90">
        <v>13.1</v>
      </c>
      <c r="DA90">
        <v>13.1</v>
      </c>
      <c r="DB90" s="2" t="s">
        <v>4819</v>
      </c>
    </row>
    <row r="91" spans="10:106" x14ac:dyDescent="0.4">
      <c r="J91" s="3">
        <v>42963</v>
      </c>
      <c r="K91">
        <v>0.57999999999999996</v>
      </c>
      <c r="L91">
        <v>0.57999999999999996</v>
      </c>
      <c r="M91">
        <v>0.56000000000000005</v>
      </c>
      <c r="N91">
        <v>0.56999999999999995</v>
      </c>
      <c r="O91">
        <v>0.56999999999999995</v>
      </c>
      <c r="P91" s="2" t="s">
        <v>4739</v>
      </c>
      <c r="S91" s="3">
        <v>42964</v>
      </c>
      <c r="T91">
        <v>71.45</v>
      </c>
      <c r="U91">
        <v>71.5</v>
      </c>
      <c r="V91">
        <v>71.400000000000006</v>
      </c>
      <c r="W91">
        <v>71.5</v>
      </c>
      <c r="X91">
        <v>71.33</v>
      </c>
      <c r="Y91" s="2" t="s">
        <v>4747</v>
      </c>
      <c r="AB91" s="3">
        <v>42964</v>
      </c>
      <c r="AC91">
        <v>2.82</v>
      </c>
      <c r="AD91">
        <v>2.87</v>
      </c>
      <c r="AE91">
        <v>2.81</v>
      </c>
      <c r="AF91">
        <v>2.85</v>
      </c>
      <c r="AG91">
        <v>2.85</v>
      </c>
      <c r="AH91" s="2" t="s">
        <v>4756</v>
      </c>
      <c r="AK91" s="3">
        <v>42964</v>
      </c>
      <c r="AL91">
        <v>7</v>
      </c>
      <c r="AM91">
        <v>7.06</v>
      </c>
      <c r="AN91">
        <v>6.83</v>
      </c>
      <c r="AO91">
        <v>6.97</v>
      </c>
      <c r="AP91">
        <v>6.97</v>
      </c>
      <c r="AQ91" s="2" t="s">
        <v>4765</v>
      </c>
      <c r="AT91" s="3">
        <v>42964</v>
      </c>
      <c r="AU91">
        <v>1.77</v>
      </c>
      <c r="AV91">
        <v>1.79</v>
      </c>
      <c r="AW91">
        <v>1.73</v>
      </c>
      <c r="AX91">
        <v>1.76</v>
      </c>
      <c r="AY91">
        <v>1.76</v>
      </c>
      <c r="AZ91" s="2" t="s">
        <v>4773</v>
      </c>
      <c r="BC91" s="3">
        <v>42963</v>
      </c>
      <c r="BD91">
        <v>1.67</v>
      </c>
      <c r="BE91">
        <v>1.69</v>
      </c>
      <c r="BF91">
        <v>1.67</v>
      </c>
      <c r="BG91">
        <v>1.67</v>
      </c>
      <c r="BH91">
        <v>1.67</v>
      </c>
      <c r="BI91" s="2" t="s">
        <v>4289</v>
      </c>
      <c r="BL91" s="3">
        <v>42964</v>
      </c>
      <c r="BM91">
        <v>9.1</v>
      </c>
      <c r="BN91">
        <v>9.33</v>
      </c>
      <c r="BO91">
        <v>9.1</v>
      </c>
      <c r="BP91">
        <v>9.17</v>
      </c>
      <c r="BQ91">
        <v>9.17</v>
      </c>
      <c r="BR91" s="2" t="s">
        <v>4785</v>
      </c>
      <c r="BU91" s="3">
        <v>42964</v>
      </c>
      <c r="BV91">
        <v>1.1599999999999999</v>
      </c>
      <c r="BW91">
        <v>1.18</v>
      </c>
      <c r="BX91">
        <v>1.1599999999999999</v>
      </c>
      <c r="BY91">
        <v>1.17</v>
      </c>
      <c r="BZ91">
        <v>1.1599999999999999</v>
      </c>
      <c r="CA91" s="2" t="s">
        <v>4792</v>
      </c>
      <c r="CD91" s="3">
        <v>42964</v>
      </c>
      <c r="CE91">
        <v>6.45</v>
      </c>
      <c r="CF91">
        <v>6.48</v>
      </c>
      <c r="CG91">
        <v>6.36</v>
      </c>
      <c r="CH91">
        <v>6.42</v>
      </c>
      <c r="CI91">
        <v>6.42</v>
      </c>
      <c r="CJ91" s="2" t="s">
        <v>4800</v>
      </c>
      <c r="CM91" s="3">
        <v>42963</v>
      </c>
      <c r="CN91">
        <v>1.1200000000000001</v>
      </c>
      <c r="CO91">
        <v>1.1200000000000001</v>
      </c>
      <c r="CP91">
        <v>1.0900000000000001</v>
      </c>
      <c r="CQ91">
        <v>1.1000000000000001</v>
      </c>
      <c r="CR91">
        <v>1.1000000000000001</v>
      </c>
      <c r="CS91" s="2" t="s">
        <v>4810</v>
      </c>
      <c r="CV91" s="3">
        <v>42964</v>
      </c>
      <c r="CW91">
        <v>13.16</v>
      </c>
      <c r="CX91">
        <v>13.16</v>
      </c>
      <c r="CY91">
        <v>13.08</v>
      </c>
      <c r="CZ91">
        <v>13.14</v>
      </c>
      <c r="DA91">
        <v>13.14</v>
      </c>
      <c r="DB91" s="2" t="s">
        <v>4818</v>
      </c>
    </row>
    <row r="92" spans="10:106" x14ac:dyDescent="0.4">
      <c r="J92" s="3">
        <v>42964</v>
      </c>
      <c r="K92">
        <v>0.56000000000000005</v>
      </c>
      <c r="L92">
        <v>0.56999999999999995</v>
      </c>
      <c r="M92">
        <v>0.56000000000000005</v>
      </c>
      <c r="N92">
        <v>0.56999999999999995</v>
      </c>
      <c r="O92">
        <v>0.56999999999999995</v>
      </c>
      <c r="P92" s="2" t="s">
        <v>4738</v>
      </c>
      <c r="S92" s="3">
        <v>42965</v>
      </c>
      <c r="T92">
        <v>71.45</v>
      </c>
      <c r="U92">
        <v>72.150000000000006</v>
      </c>
      <c r="V92">
        <v>71.3</v>
      </c>
      <c r="W92">
        <v>72</v>
      </c>
      <c r="X92">
        <v>71.83</v>
      </c>
      <c r="Y92" s="2" t="s">
        <v>4746</v>
      </c>
      <c r="AB92" s="3">
        <v>42965</v>
      </c>
      <c r="AC92">
        <v>2.84</v>
      </c>
      <c r="AD92">
        <v>2.85</v>
      </c>
      <c r="AE92">
        <v>2.81</v>
      </c>
      <c r="AF92">
        <v>2.83</v>
      </c>
      <c r="AG92">
        <v>2.83</v>
      </c>
      <c r="AH92" s="2" t="s">
        <v>4755</v>
      </c>
      <c r="AK92" s="3">
        <v>42965</v>
      </c>
      <c r="AL92">
        <v>6.86</v>
      </c>
      <c r="AM92">
        <v>6.95</v>
      </c>
      <c r="AN92">
        <v>6.8</v>
      </c>
      <c r="AO92">
        <v>6.94</v>
      </c>
      <c r="AP92">
        <v>6.94</v>
      </c>
      <c r="AQ92" s="2" t="s">
        <v>4764</v>
      </c>
      <c r="AT92" s="3">
        <v>42965</v>
      </c>
      <c r="AU92">
        <v>1.73</v>
      </c>
      <c r="AV92">
        <v>1.8</v>
      </c>
      <c r="AW92">
        <v>1.72</v>
      </c>
      <c r="AX92">
        <v>1.78</v>
      </c>
      <c r="AY92">
        <v>1.78</v>
      </c>
      <c r="AZ92" s="2" t="s">
        <v>4772</v>
      </c>
      <c r="BC92" s="3">
        <v>42964</v>
      </c>
      <c r="BD92">
        <v>1.67</v>
      </c>
      <c r="BE92">
        <v>1.68</v>
      </c>
      <c r="BF92">
        <v>1.67</v>
      </c>
      <c r="BG92">
        <v>1.68</v>
      </c>
      <c r="BH92">
        <v>1.68</v>
      </c>
      <c r="BI92" s="2" t="s">
        <v>4259</v>
      </c>
      <c r="BL92" s="3">
        <v>42965</v>
      </c>
      <c r="BM92">
        <v>9.1</v>
      </c>
      <c r="BN92">
        <v>9.19</v>
      </c>
      <c r="BO92">
        <v>9.0500000000000007</v>
      </c>
      <c r="BP92">
        <v>9.07</v>
      </c>
      <c r="BQ92">
        <v>9.07</v>
      </c>
      <c r="BR92" s="2" t="s">
        <v>4784</v>
      </c>
      <c r="BU92" s="3">
        <v>42965</v>
      </c>
      <c r="BV92">
        <v>1.17</v>
      </c>
      <c r="BW92">
        <v>1.19</v>
      </c>
      <c r="BX92">
        <v>1.17</v>
      </c>
      <c r="BY92">
        <v>1.19</v>
      </c>
      <c r="BZ92">
        <v>1.17</v>
      </c>
      <c r="CA92" s="2" t="s">
        <v>4461</v>
      </c>
      <c r="CD92" s="3">
        <v>42965</v>
      </c>
      <c r="CE92">
        <v>6.45</v>
      </c>
      <c r="CF92">
        <v>6.51</v>
      </c>
      <c r="CG92">
        <v>6.36</v>
      </c>
      <c r="CH92">
        <v>6.48</v>
      </c>
      <c r="CI92">
        <v>6.48</v>
      </c>
      <c r="CJ92" s="2" t="s">
        <v>4799</v>
      </c>
      <c r="CM92" s="3">
        <v>42964</v>
      </c>
      <c r="CN92">
        <v>1.0900000000000001</v>
      </c>
      <c r="CO92">
        <v>1.0900000000000001</v>
      </c>
      <c r="CP92">
        <v>1.03</v>
      </c>
      <c r="CQ92">
        <v>1.05</v>
      </c>
      <c r="CR92">
        <v>1.05</v>
      </c>
      <c r="CS92" s="2" t="s">
        <v>4809</v>
      </c>
      <c r="CV92" s="3">
        <v>42965</v>
      </c>
      <c r="CW92">
        <v>13.08</v>
      </c>
      <c r="CX92">
        <v>13.2</v>
      </c>
      <c r="CY92">
        <v>13.06</v>
      </c>
      <c r="CZ92">
        <v>13.14</v>
      </c>
      <c r="DA92">
        <v>13.14</v>
      </c>
      <c r="DB92" s="2" t="s">
        <v>4817</v>
      </c>
    </row>
    <row r="93" spans="10:106" x14ac:dyDescent="0.4">
      <c r="J93" s="3">
        <v>42965</v>
      </c>
      <c r="K93">
        <v>0.56000000000000005</v>
      </c>
      <c r="L93">
        <v>0.57999999999999996</v>
      </c>
      <c r="M93">
        <v>0.56000000000000005</v>
      </c>
      <c r="N93">
        <v>0.57999999999999996</v>
      </c>
      <c r="O93">
        <v>0.57999999999999996</v>
      </c>
      <c r="P93" s="2" t="s">
        <v>3845</v>
      </c>
      <c r="S93" s="3">
        <v>42968</v>
      </c>
      <c r="T93">
        <v>72</v>
      </c>
      <c r="U93">
        <v>72.05</v>
      </c>
      <c r="V93">
        <v>71.8</v>
      </c>
      <c r="W93">
        <v>72</v>
      </c>
      <c r="X93">
        <v>71.83</v>
      </c>
      <c r="Y93" s="2" t="s">
        <v>4745</v>
      </c>
      <c r="AB93" s="3">
        <v>42968</v>
      </c>
      <c r="AC93">
        <v>2.85</v>
      </c>
      <c r="AD93">
        <v>2.86</v>
      </c>
      <c r="AE93">
        <v>2.83</v>
      </c>
      <c r="AF93">
        <v>2.83</v>
      </c>
      <c r="AG93">
        <v>2.83</v>
      </c>
      <c r="AH93" s="2" t="s">
        <v>4754</v>
      </c>
      <c r="AK93" s="3">
        <v>42968</v>
      </c>
      <c r="AL93">
        <v>6.93</v>
      </c>
      <c r="AM93">
        <v>6.94</v>
      </c>
      <c r="AN93">
        <v>6.75</v>
      </c>
      <c r="AO93">
        <v>6.79</v>
      </c>
      <c r="AP93">
        <v>6.79</v>
      </c>
      <c r="AQ93" s="2" t="s">
        <v>4763</v>
      </c>
      <c r="AT93" s="3">
        <v>42968</v>
      </c>
      <c r="AU93">
        <v>1.8</v>
      </c>
      <c r="AV93">
        <v>1.8</v>
      </c>
      <c r="AW93">
        <v>1.76</v>
      </c>
      <c r="AX93">
        <v>1.78</v>
      </c>
      <c r="AY93">
        <v>1.78</v>
      </c>
      <c r="AZ93" s="2" t="s">
        <v>4771</v>
      </c>
      <c r="BC93" s="3">
        <v>42965</v>
      </c>
      <c r="BD93">
        <v>1.67</v>
      </c>
      <c r="BE93">
        <v>1.68</v>
      </c>
      <c r="BF93">
        <v>1.66</v>
      </c>
      <c r="BG93">
        <v>1.66</v>
      </c>
      <c r="BH93">
        <v>1.66</v>
      </c>
      <c r="BI93" s="2" t="s">
        <v>4778</v>
      </c>
      <c r="BL93" s="3">
        <v>42968</v>
      </c>
      <c r="BM93">
        <v>9.1</v>
      </c>
      <c r="BN93">
        <v>9.3000000000000007</v>
      </c>
      <c r="BO93">
        <v>9.08</v>
      </c>
      <c r="BP93">
        <v>9.25</v>
      </c>
      <c r="BQ93">
        <v>9.25</v>
      </c>
      <c r="BR93" s="2" t="s">
        <v>4783</v>
      </c>
      <c r="BU93" s="3">
        <v>42968</v>
      </c>
      <c r="BV93">
        <v>1.19</v>
      </c>
      <c r="BW93">
        <v>1.19</v>
      </c>
      <c r="BX93">
        <v>1.1499999999999999</v>
      </c>
      <c r="BY93">
        <v>1.17</v>
      </c>
      <c r="BZ93">
        <v>1.1599999999999999</v>
      </c>
      <c r="CA93" s="2" t="s">
        <v>3869</v>
      </c>
      <c r="CD93" s="3">
        <v>42968</v>
      </c>
      <c r="CE93">
        <v>6.46</v>
      </c>
      <c r="CF93">
        <v>6.46</v>
      </c>
      <c r="CG93">
        <v>6.36</v>
      </c>
      <c r="CH93">
        <v>6.38</v>
      </c>
      <c r="CI93">
        <v>6.38</v>
      </c>
      <c r="CJ93" s="2" t="s">
        <v>4798</v>
      </c>
      <c r="CM93" s="3">
        <v>42965</v>
      </c>
      <c r="CN93">
        <v>1.03</v>
      </c>
      <c r="CO93">
        <v>1.06</v>
      </c>
      <c r="CP93">
        <v>1.03</v>
      </c>
      <c r="CQ93">
        <v>1.04</v>
      </c>
      <c r="CR93">
        <v>1.04</v>
      </c>
      <c r="CS93" s="2" t="s">
        <v>4808</v>
      </c>
      <c r="CV93" s="3">
        <v>42968</v>
      </c>
      <c r="CW93">
        <v>13.14</v>
      </c>
      <c r="CX93">
        <v>13.26</v>
      </c>
      <c r="CY93">
        <v>13.14</v>
      </c>
      <c r="CZ93">
        <v>13.24</v>
      </c>
      <c r="DA93">
        <v>13.24</v>
      </c>
      <c r="DB93" s="2" t="s">
        <v>4816</v>
      </c>
    </row>
    <row r="94" spans="10:106" x14ac:dyDescent="0.4">
      <c r="J94" s="3">
        <v>42968</v>
      </c>
      <c r="K94">
        <v>0.56000000000000005</v>
      </c>
      <c r="L94">
        <v>0.56999999999999995</v>
      </c>
      <c r="M94">
        <v>0.56000000000000005</v>
      </c>
      <c r="N94">
        <v>0.56999999999999995</v>
      </c>
      <c r="O94">
        <v>0.56999999999999995</v>
      </c>
      <c r="P94" s="2" t="s">
        <v>3842</v>
      </c>
      <c r="S94" s="3">
        <v>42969</v>
      </c>
      <c r="T94">
        <v>72.2</v>
      </c>
      <c r="U94">
        <v>72.2</v>
      </c>
      <c r="V94">
        <v>71.849999999999994</v>
      </c>
      <c r="W94">
        <v>72.2</v>
      </c>
      <c r="X94">
        <v>72.03</v>
      </c>
      <c r="Y94" s="2" t="s">
        <v>4744</v>
      </c>
      <c r="AB94" s="3">
        <v>42969</v>
      </c>
      <c r="AC94">
        <v>2.83</v>
      </c>
      <c r="AD94">
        <v>2.89</v>
      </c>
      <c r="AE94">
        <v>2.83</v>
      </c>
      <c r="AF94">
        <v>2.85</v>
      </c>
      <c r="AG94">
        <v>2.85</v>
      </c>
      <c r="AH94" s="2" t="s">
        <v>4753</v>
      </c>
      <c r="AK94" s="3">
        <v>42969</v>
      </c>
      <c r="AL94">
        <v>6.78</v>
      </c>
      <c r="AM94">
        <v>6.89</v>
      </c>
      <c r="AN94">
        <v>6.77</v>
      </c>
      <c r="AO94">
        <v>6.89</v>
      </c>
      <c r="AP94">
        <v>6.89</v>
      </c>
      <c r="AQ94" s="2" t="s">
        <v>4762</v>
      </c>
      <c r="AT94" s="3">
        <v>42969</v>
      </c>
      <c r="AU94">
        <v>1.78</v>
      </c>
      <c r="AV94">
        <v>1.8</v>
      </c>
      <c r="AW94">
        <v>1.74</v>
      </c>
      <c r="AX94">
        <v>1.77</v>
      </c>
      <c r="AY94">
        <v>1.77</v>
      </c>
      <c r="AZ94" s="2" t="s">
        <v>4549</v>
      </c>
      <c r="BC94" s="3">
        <v>42968</v>
      </c>
      <c r="BD94">
        <v>1.66</v>
      </c>
      <c r="BE94">
        <v>1.74</v>
      </c>
      <c r="BF94">
        <v>1.64</v>
      </c>
      <c r="BG94">
        <v>1.65</v>
      </c>
      <c r="BH94">
        <v>1.65</v>
      </c>
      <c r="BI94" s="2" t="s">
        <v>4461</v>
      </c>
      <c r="BL94" s="3">
        <v>42969</v>
      </c>
      <c r="BM94">
        <v>9.35</v>
      </c>
      <c r="BN94">
        <v>9.35</v>
      </c>
      <c r="BO94">
        <v>9.09</v>
      </c>
      <c r="BP94">
        <v>9.26</v>
      </c>
      <c r="BQ94">
        <v>9.26</v>
      </c>
      <c r="BR94" s="2" t="s">
        <v>4782</v>
      </c>
      <c r="BU94" s="3">
        <v>42969</v>
      </c>
      <c r="BV94">
        <v>1.1599999999999999</v>
      </c>
      <c r="BW94">
        <v>1.18</v>
      </c>
      <c r="BX94">
        <v>1.1499999999999999</v>
      </c>
      <c r="BY94">
        <v>1.17</v>
      </c>
      <c r="BZ94">
        <v>1.1599999999999999</v>
      </c>
      <c r="CA94" s="2" t="s">
        <v>4791</v>
      </c>
      <c r="CD94" s="3">
        <v>42969</v>
      </c>
      <c r="CE94">
        <v>6.42</v>
      </c>
      <c r="CF94">
        <v>6.46</v>
      </c>
      <c r="CG94">
        <v>6.33</v>
      </c>
      <c r="CH94">
        <v>6.4</v>
      </c>
      <c r="CI94">
        <v>6.4</v>
      </c>
      <c r="CJ94" s="2" t="s">
        <v>4797</v>
      </c>
      <c r="CM94" s="3">
        <v>42968</v>
      </c>
      <c r="CN94">
        <v>1.06</v>
      </c>
      <c r="CO94">
        <v>1.1200000000000001</v>
      </c>
      <c r="CP94">
        <v>1.06</v>
      </c>
      <c r="CQ94">
        <v>1.1100000000000001</v>
      </c>
      <c r="CR94">
        <v>1.1100000000000001</v>
      </c>
      <c r="CS94" s="2" t="s">
        <v>4807</v>
      </c>
      <c r="CV94" s="3">
        <v>42969</v>
      </c>
      <c r="CW94">
        <v>13.24</v>
      </c>
      <c r="CX94">
        <v>13.38</v>
      </c>
      <c r="CY94">
        <v>13.24</v>
      </c>
      <c r="CZ94">
        <v>13.36</v>
      </c>
      <c r="DA94">
        <v>13.36</v>
      </c>
      <c r="DB94" s="2" t="s">
        <v>4815</v>
      </c>
    </row>
    <row r="95" spans="10:106" x14ac:dyDescent="0.4">
      <c r="J95" s="3">
        <v>42969</v>
      </c>
      <c r="K95">
        <v>0.6</v>
      </c>
      <c r="L95">
        <v>0.64</v>
      </c>
      <c r="M95">
        <v>0.6</v>
      </c>
      <c r="N95">
        <v>0.62</v>
      </c>
      <c r="O95">
        <v>0.62</v>
      </c>
      <c r="P95" s="2" t="s">
        <v>4737</v>
      </c>
      <c r="S95" s="3">
        <v>42970</v>
      </c>
      <c r="T95">
        <v>72.099999999999994</v>
      </c>
      <c r="U95">
        <v>72.099999999999994</v>
      </c>
      <c r="V95">
        <v>72.099999999999994</v>
      </c>
      <c r="W95">
        <v>72.099999999999994</v>
      </c>
      <c r="X95">
        <v>71.930000000000007</v>
      </c>
      <c r="Y95" s="2" t="s">
        <v>3837</v>
      </c>
      <c r="AB95" s="3">
        <v>42970</v>
      </c>
      <c r="AC95">
        <v>2.84</v>
      </c>
      <c r="AD95">
        <v>2.84</v>
      </c>
      <c r="AE95">
        <v>2.84</v>
      </c>
      <c r="AF95">
        <v>2.84</v>
      </c>
      <c r="AG95">
        <v>2.84</v>
      </c>
      <c r="AH95" s="2" t="s">
        <v>3837</v>
      </c>
      <c r="AK95" s="3">
        <v>42970</v>
      </c>
      <c r="AL95">
        <v>6.88</v>
      </c>
      <c r="AM95">
        <v>6.88</v>
      </c>
      <c r="AN95">
        <v>6.88</v>
      </c>
      <c r="AO95">
        <v>6.88</v>
      </c>
      <c r="AP95">
        <v>6.88</v>
      </c>
      <c r="AQ95" s="2" t="s">
        <v>3837</v>
      </c>
      <c r="AT95" s="3">
        <v>42970</v>
      </c>
      <c r="AU95">
        <v>1.77</v>
      </c>
      <c r="AV95">
        <v>1.77</v>
      </c>
      <c r="AW95">
        <v>1.77</v>
      </c>
      <c r="AX95">
        <v>1.77</v>
      </c>
      <c r="AY95">
        <v>1.77</v>
      </c>
      <c r="AZ95" s="2" t="s">
        <v>3837</v>
      </c>
      <c r="BC95" s="3">
        <v>42969</v>
      </c>
      <c r="BD95">
        <v>1.66</v>
      </c>
      <c r="BE95">
        <v>1.66</v>
      </c>
      <c r="BF95">
        <v>1.63</v>
      </c>
      <c r="BG95">
        <v>1.65</v>
      </c>
      <c r="BH95">
        <v>1.65</v>
      </c>
      <c r="BI95" s="2" t="s">
        <v>4778</v>
      </c>
      <c r="BL95" s="3">
        <v>42970</v>
      </c>
      <c r="BM95">
        <v>9.2100000000000009</v>
      </c>
      <c r="BN95">
        <v>9.2100000000000009</v>
      </c>
      <c r="BO95">
        <v>9.2100000000000009</v>
      </c>
      <c r="BP95">
        <v>9.2100000000000009</v>
      </c>
      <c r="BQ95">
        <v>9.2100000000000009</v>
      </c>
      <c r="BR95" s="2" t="s">
        <v>3837</v>
      </c>
      <c r="BU95" s="3">
        <v>42970</v>
      </c>
      <c r="BV95">
        <v>1.17</v>
      </c>
      <c r="BW95">
        <v>1.17</v>
      </c>
      <c r="BX95">
        <v>1.17</v>
      </c>
      <c r="BY95">
        <v>1.17</v>
      </c>
      <c r="BZ95">
        <v>1.1599999999999999</v>
      </c>
      <c r="CA95" s="2" t="s">
        <v>3837</v>
      </c>
      <c r="CD95" s="3">
        <v>42970</v>
      </c>
      <c r="CE95">
        <v>6.4</v>
      </c>
      <c r="CF95">
        <v>6.4</v>
      </c>
      <c r="CG95">
        <v>6.4</v>
      </c>
      <c r="CH95">
        <v>6.4</v>
      </c>
      <c r="CI95">
        <v>6.4</v>
      </c>
      <c r="CJ95" s="2" t="s">
        <v>3837</v>
      </c>
      <c r="CM95" s="3">
        <v>42969</v>
      </c>
      <c r="CN95">
        <v>1.1299999999999999</v>
      </c>
      <c r="CO95">
        <v>1.1399999999999999</v>
      </c>
      <c r="CP95">
        <v>1.1200000000000001</v>
      </c>
      <c r="CQ95">
        <v>1.1299999999999999</v>
      </c>
      <c r="CR95">
        <v>1.1299999999999999</v>
      </c>
      <c r="CS95" s="2" t="s">
        <v>4806</v>
      </c>
      <c r="CV95" s="3">
        <v>42970</v>
      </c>
      <c r="CW95">
        <v>13.36</v>
      </c>
      <c r="CX95">
        <v>13.36</v>
      </c>
      <c r="CY95">
        <v>13.36</v>
      </c>
      <c r="CZ95">
        <v>13.36</v>
      </c>
      <c r="DA95">
        <v>13.36</v>
      </c>
      <c r="DB95" s="2" t="s">
        <v>3837</v>
      </c>
    </row>
    <row r="96" spans="10:106" x14ac:dyDescent="0.4">
      <c r="J96" s="3">
        <v>42970</v>
      </c>
      <c r="K96">
        <v>0.62</v>
      </c>
      <c r="L96">
        <v>0.62</v>
      </c>
      <c r="M96">
        <v>0.62</v>
      </c>
      <c r="N96">
        <v>0.62</v>
      </c>
      <c r="O96">
        <v>0.62</v>
      </c>
      <c r="P96" s="2" t="s">
        <v>3837</v>
      </c>
      <c r="S96" s="3">
        <v>42971</v>
      </c>
      <c r="T96">
        <v>72.2</v>
      </c>
      <c r="U96">
        <v>72.2</v>
      </c>
      <c r="V96">
        <v>71.8</v>
      </c>
      <c r="W96">
        <v>71.95</v>
      </c>
      <c r="X96">
        <v>71.78</v>
      </c>
      <c r="Y96" s="2" t="s">
        <v>4743</v>
      </c>
      <c r="AB96" s="3">
        <v>42971</v>
      </c>
      <c r="AC96">
        <v>2.87</v>
      </c>
      <c r="AD96">
        <v>2.89</v>
      </c>
      <c r="AE96">
        <v>2.86</v>
      </c>
      <c r="AF96">
        <v>2.87</v>
      </c>
      <c r="AG96">
        <v>2.87</v>
      </c>
      <c r="AH96" s="2" t="s">
        <v>4752</v>
      </c>
      <c r="AK96" s="3">
        <v>42971</v>
      </c>
      <c r="AL96">
        <v>6.88</v>
      </c>
      <c r="AM96">
        <v>6.9</v>
      </c>
      <c r="AN96">
        <v>6.75</v>
      </c>
      <c r="AO96">
        <v>6.79</v>
      </c>
      <c r="AP96">
        <v>6.79</v>
      </c>
      <c r="AQ96" s="2" t="s">
        <v>4761</v>
      </c>
      <c r="AT96" s="3">
        <v>42971</v>
      </c>
      <c r="AU96">
        <v>1.77</v>
      </c>
      <c r="AV96">
        <v>1.77</v>
      </c>
      <c r="AW96">
        <v>1.7</v>
      </c>
      <c r="AX96">
        <v>1.74</v>
      </c>
      <c r="AY96">
        <v>1.74</v>
      </c>
      <c r="AZ96" s="2" t="s">
        <v>4770</v>
      </c>
      <c r="BC96" s="3">
        <v>42970</v>
      </c>
      <c r="BD96">
        <v>1.65</v>
      </c>
      <c r="BE96">
        <v>1.65</v>
      </c>
      <c r="BF96">
        <v>1.65</v>
      </c>
      <c r="BG96">
        <v>1.65</v>
      </c>
      <c r="BH96">
        <v>1.65</v>
      </c>
      <c r="BI96" s="2" t="s">
        <v>3837</v>
      </c>
      <c r="BL96" s="3">
        <v>42971</v>
      </c>
      <c r="BM96">
        <v>9.32</v>
      </c>
      <c r="BN96">
        <v>9.34</v>
      </c>
      <c r="BO96">
        <v>9.18</v>
      </c>
      <c r="BP96">
        <v>9.31</v>
      </c>
      <c r="BQ96">
        <v>9.31</v>
      </c>
      <c r="BR96" s="2" t="s">
        <v>4781</v>
      </c>
      <c r="BU96" s="3">
        <v>42971</v>
      </c>
      <c r="BV96">
        <v>1.1599999999999999</v>
      </c>
      <c r="BW96">
        <v>1.19</v>
      </c>
      <c r="BX96">
        <v>1.1599999999999999</v>
      </c>
      <c r="BY96">
        <v>1.18</v>
      </c>
      <c r="BZ96">
        <v>1.1599999999999999</v>
      </c>
      <c r="CA96" s="2" t="s">
        <v>4790</v>
      </c>
      <c r="CD96" s="3">
        <v>42971</v>
      </c>
      <c r="CE96">
        <v>6.39</v>
      </c>
      <c r="CF96">
        <v>6.43</v>
      </c>
      <c r="CG96">
        <v>6.35</v>
      </c>
      <c r="CH96">
        <v>6.41</v>
      </c>
      <c r="CI96">
        <v>6.41</v>
      </c>
      <c r="CJ96" s="2" t="s">
        <v>4796</v>
      </c>
      <c r="CM96" s="3">
        <v>42970</v>
      </c>
      <c r="CN96">
        <v>1.1200000000000001</v>
      </c>
      <c r="CO96">
        <v>1.1200000000000001</v>
      </c>
      <c r="CP96">
        <v>1.1200000000000001</v>
      </c>
      <c r="CQ96">
        <v>1.1200000000000001</v>
      </c>
      <c r="CR96">
        <v>1.1200000000000001</v>
      </c>
      <c r="CS96" s="2" t="s">
        <v>3837</v>
      </c>
      <c r="CV96" s="3">
        <v>42971</v>
      </c>
      <c r="CW96">
        <v>13.44</v>
      </c>
      <c r="CX96">
        <v>13.54</v>
      </c>
      <c r="CY96">
        <v>13.4</v>
      </c>
      <c r="CZ96">
        <v>13.4</v>
      </c>
      <c r="DA96">
        <v>13.4</v>
      </c>
      <c r="DB96" s="2" t="s">
        <v>4814</v>
      </c>
    </row>
    <row r="97" spans="10:106" x14ac:dyDescent="0.4">
      <c r="J97" s="3">
        <v>42971</v>
      </c>
      <c r="K97">
        <v>0.6</v>
      </c>
      <c r="L97">
        <v>0.64</v>
      </c>
      <c r="M97">
        <v>0.6</v>
      </c>
      <c r="N97">
        <v>0.64</v>
      </c>
      <c r="O97">
        <v>0.64</v>
      </c>
      <c r="P97" s="2" t="s">
        <v>4736</v>
      </c>
      <c r="S97" s="3">
        <v>42972</v>
      </c>
      <c r="T97">
        <v>71.95</v>
      </c>
      <c r="U97">
        <v>72.8</v>
      </c>
      <c r="V97">
        <v>71.900000000000006</v>
      </c>
      <c r="W97">
        <v>72.05</v>
      </c>
      <c r="X97">
        <v>71.88</v>
      </c>
      <c r="Y97" s="2" t="s">
        <v>4742</v>
      </c>
      <c r="AB97" s="3">
        <v>42972</v>
      </c>
      <c r="AC97">
        <v>3.4</v>
      </c>
      <c r="AD97">
        <v>3.44</v>
      </c>
      <c r="AE97">
        <v>3.23</v>
      </c>
      <c r="AF97">
        <v>3.3</v>
      </c>
      <c r="AG97">
        <v>3.3</v>
      </c>
      <c r="AH97" s="2" t="s">
        <v>4751</v>
      </c>
      <c r="AK97" s="3">
        <v>42972</v>
      </c>
      <c r="AL97">
        <v>6.76</v>
      </c>
      <c r="AM97">
        <v>6.82</v>
      </c>
      <c r="AN97">
        <v>6.71</v>
      </c>
      <c r="AO97">
        <v>6.74</v>
      </c>
      <c r="AP97">
        <v>6.74</v>
      </c>
      <c r="AQ97" s="2" t="s">
        <v>4760</v>
      </c>
      <c r="AT97" s="3">
        <v>42972</v>
      </c>
      <c r="AU97">
        <v>1.71</v>
      </c>
      <c r="AV97">
        <v>1.73</v>
      </c>
      <c r="AW97">
        <v>1.68</v>
      </c>
      <c r="AX97">
        <v>1.69</v>
      </c>
      <c r="AY97">
        <v>1.69</v>
      </c>
      <c r="AZ97" s="2" t="s">
        <v>4769</v>
      </c>
      <c r="BC97" s="3">
        <v>42971</v>
      </c>
      <c r="BD97">
        <v>1.65</v>
      </c>
      <c r="BE97">
        <v>1.68</v>
      </c>
      <c r="BF97">
        <v>1.64</v>
      </c>
      <c r="BG97">
        <v>1.66</v>
      </c>
      <c r="BH97">
        <v>1.66</v>
      </c>
      <c r="BI97" s="2" t="s">
        <v>4282</v>
      </c>
      <c r="BL97" s="3">
        <v>42972</v>
      </c>
      <c r="BM97">
        <v>9.2799999999999994</v>
      </c>
      <c r="BN97">
        <v>9.33</v>
      </c>
      <c r="BO97">
        <v>9.17</v>
      </c>
      <c r="BP97">
        <v>9.2899999999999991</v>
      </c>
      <c r="BQ97">
        <v>9.2899999999999991</v>
      </c>
      <c r="BR97" s="2" t="s">
        <v>4780</v>
      </c>
      <c r="BU97" s="3">
        <v>42972</v>
      </c>
      <c r="BV97">
        <v>1.1599999999999999</v>
      </c>
      <c r="BW97">
        <v>1.18</v>
      </c>
      <c r="BX97">
        <v>1.1499999999999999</v>
      </c>
      <c r="BY97">
        <v>1.1599999999999999</v>
      </c>
      <c r="BZ97">
        <v>1.1499999999999999</v>
      </c>
      <c r="CA97" s="2" t="s">
        <v>4789</v>
      </c>
      <c r="CD97" s="3">
        <v>42972</v>
      </c>
      <c r="CE97">
        <v>6.4</v>
      </c>
      <c r="CF97">
        <v>6.46</v>
      </c>
      <c r="CG97">
        <v>6.36</v>
      </c>
      <c r="CH97">
        <v>6.42</v>
      </c>
      <c r="CI97">
        <v>6.42</v>
      </c>
      <c r="CJ97" s="2" t="s">
        <v>4795</v>
      </c>
      <c r="CM97" s="3">
        <v>42971</v>
      </c>
      <c r="CN97">
        <v>1.1299999999999999</v>
      </c>
      <c r="CO97">
        <v>1.1399999999999999</v>
      </c>
      <c r="CP97">
        <v>1.1299999999999999</v>
      </c>
      <c r="CQ97">
        <v>1.1399999999999999</v>
      </c>
      <c r="CR97">
        <v>1.1399999999999999</v>
      </c>
      <c r="CS97" s="2" t="s">
        <v>4805</v>
      </c>
      <c r="CV97" s="3">
        <v>42972</v>
      </c>
      <c r="CW97">
        <v>13.4</v>
      </c>
      <c r="CX97">
        <v>13.74</v>
      </c>
      <c r="CY97">
        <v>13.4</v>
      </c>
      <c r="CZ97">
        <v>13.74</v>
      </c>
      <c r="DA97">
        <v>13.74</v>
      </c>
      <c r="DB97" s="2" t="s">
        <v>4813</v>
      </c>
    </row>
    <row r="98" spans="10:106" x14ac:dyDescent="0.4">
      <c r="J98" s="3">
        <v>42972</v>
      </c>
      <c r="K98">
        <v>0.63</v>
      </c>
      <c r="L98">
        <v>0.65</v>
      </c>
      <c r="M98">
        <v>0.63</v>
      </c>
      <c r="N98">
        <v>0.65</v>
      </c>
      <c r="O98">
        <v>0.65</v>
      </c>
      <c r="P98" s="2" t="s">
        <v>4735</v>
      </c>
      <c r="S98" s="3">
        <v>42975</v>
      </c>
      <c r="T98">
        <v>72.05</v>
      </c>
      <c r="U98">
        <v>72.45</v>
      </c>
      <c r="V98">
        <v>71.900000000000006</v>
      </c>
      <c r="W98">
        <v>72.2</v>
      </c>
      <c r="X98">
        <v>72.03</v>
      </c>
      <c r="Y98" s="2" t="s">
        <v>4828</v>
      </c>
      <c r="AB98" s="3">
        <v>42975</v>
      </c>
      <c r="AC98">
        <v>3.31</v>
      </c>
      <c r="AD98">
        <v>3.49</v>
      </c>
      <c r="AE98">
        <v>3.31</v>
      </c>
      <c r="AF98">
        <v>3.46</v>
      </c>
      <c r="AG98">
        <v>3.46</v>
      </c>
      <c r="AH98" s="2" t="s">
        <v>4832</v>
      </c>
      <c r="AK98" s="3">
        <v>42975</v>
      </c>
      <c r="AL98">
        <v>6.72</v>
      </c>
      <c r="AM98">
        <v>6.75</v>
      </c>
      <c r="AN98">
        <v>6.62</v>
      </c>
      <c r="AO98">
        <v>6.63</v>
      </c>
      <c r="AP98">
        <v>6.63</v>
      </c>
      <c r="AQ98" s="2" t="s">
        <v>4836</v>
      </c>
      <c r="AT98" s="3">
        <v>42975</v>
      </c>
      <c r="AU98">
        <v>1.69</v>
      </c>
      <c r="AV98">
        <v>1.7</v>
      </c>
      <c r="AW98">
        <v>1.65</v>
      </c>
      <c r="AX98">
        <v>1.67</v>
      </c>
      <c r="AY98">
        <v>1.67</v>
      </c>
      <c r="AZ98" s="2" t="s">
        <v>4840</v>
      </c>
      <c r="BC98" s="3">
        <v>42972</v>
      </c>
      <c r="BD98">
        <v>1.65</v>
      </c>
      <c r="BE98">
        <v>1.66</v>
      </c>
      <c r="BF98">
        <v>1.63</v>
      </c>
      <c r="BG98">
        <v>1.63</v>
      </c>
      <c r="BH98">
        <v>1.63</v>
      </c>
      <c r="BI98" s="2" t="s">
        <v>4777</v>
      </c>
      <c r="BL98" s="3">
        <v>42975</v>
      </c>
      <c r="BM98">
        <v>9.25</v>
      </c>
      <c r="BN98">
        <v>9.2799999999999994</v>
      </c>
      <c r="BO98">
        <v>9.2100000000000009</v>
      </c>
      <c r="BP98">
        <v>9.27</v>
      </c>
      <c r="BQ98">
        <v>9.27</v>
      </c>
      <c r="BR98" s="2" t="s">
        <v>4847</v>
      </c>
      <c r="BU98" s="3">
        <v>42975</v>
      </c>
      <c r="BV98">
        <v>1.1499999999999999</v>
      </c>
      <c r="BW98">
        <v>1.19</v>
      </c>
      <c r="BX98">
        <v>1.1499999999999999</v>
      </c>
      <c r="BY98">
        <v>1.18</v>
      </c>
      <c r="BZ98">
        <v>1.1599999999999999</v>
      </c>
      <c r="CA98" s="2" t="s">
        <v>4851</v>
      </c>
      <c r="CD98" s="3">
        <v>42975</v>
      </c>
      <c r="CE98">
        <v>6.52</v>
      </c>
      <c r="CF98">
        <v>6.64</v>
      </c>
      <c r="CG98">
        <v>6.46</v>
      </c>
      <c r="CH98">
        <v>6.63</v>
      </c>
      <c r="CI98">
        <v>6.63</v>
      </c>
      <c r="CJ98" s="2" t="s">
        <v>4855</v>
      </c>
      <c r="CM98" s="3">
        <v>42972</v>
      </c>
      <c r="CN98">
        <v>1.1499999999999999</v>
      </c>
      <c r="CO98">
        <v>1.1499999999999999</v>
      </c>
      <c r="CP98">
        <v>1.1299999999999999</v>
      </c>
      <c r="CQ98">
        <v>1.1299999999999999</v>
      </c>
      <c r="CR98">
        <v>1.1299999999999999</v>
      </c>
      <c r="CS98" s="2" t="s">
        <v>4804</v>
      </c>
      <c r="CV98" s="3">
        <v>42975</v>
      </c>
      <c r="CW98">
        <v>13.76</v>
      </c>
      <c r="CX98">
        <v>14.02</v>
      </c>
      <c r="CY98">
        <v>13.76</v>
      </c>
      <c r="CZ98">
        <v>13.9</v>
      </c>
      <c r="DA98">
        <v>13.9</v>
      </c>
      <c r="DB98" s="2" t="s">
        <v>4863</v>
      </c>
    </row>
    <row r="99" spans="10:106" x14ac:dyDescent="0.4">
      <c r="J99" s="3">
        <v>42975</v>
      </c>
      <c r="K99">
        <v>0.67</v>
      </c>
      <c r="L99">
        <v>0.78</v>
      </c>
      <c r="M99">
        <v>0.67</v>
      </c>
      <c r="N99">
        <v>0.72</v>
      </c>
      <c r="O99">
        <v>0.72</v>
      </c>
      <c r="P99" s="2" t="s">
        <v>4824</v>
      </c>
      <c r="S99" s="3">
        <v>42976</v>
      </c>
      <c r="T99">
        <v>72.099999999999994</v>
      </c>
      <c r="U99">
        <v>72.599999999999994</v>
      </c>
      <c r="V99">
        <v>72.099999999999994</v>
      </c>
      <c r="W99">
        <v>72.3</v>
      </c>
      <c r="X99">
        <v>72.13</v>
      </c>
      <c r="Y99" s="2" t="s">
        <v>4827</v>
      </c>
      <c r="AB99" s="3">
        <v>42976</v>
      </c>
      <c r="AC99">
        <v>3.46</v>
      </c>
      <c r="AD99">
        <v>3.52</v>
      </c>
      <c r="AE99">
        <v>3.44</v>
      </c>
      <c r="AF99">
        <v>3.49</v>
      </c>
      <c r="AG99">
        <v>3.49</v>
      </c>
      <c r="AH99" s="2" t="s">
        <v>4831</v>
      </c>
      <c r="AK99" s="3">
        <v>42976</v>
      </c>
      <c r="AL99">
        <v>6.62</v>
      </c>
      <c r="AM99">
        <v>6.83</v>
      </c>
      <c r="AN99">
        <v>6.62</v>
      </c>
      <c r="AO99">
        <v>6.77</v>
      </c>
      <c r="AP99">
        <v>6.77</v>
      </c>
      <c r="AQ99" s="2" t="s">
        <v>4835</v>
      </c>
      <c r="AT99" s="3">
        <v>42976</v>
      </c>
      <c r="AU99">
        <v>1.67</v>
      </c>
      <c r="AV99">
        <v>1.69</v>
      </c>
      <c r="AW99">
        <v>1.64</v>
      </c>
      <c r="AX99">
        <v>1.68</v>
      </c>
      <c r="AY99">
        <v>1.68</v>
      </c>
      <c r="AZ99" s="2" t="s">
        <v>4839</v>
      </c>
      <c r="BC99" s="3">
        <v>42975</v>
      </c>
      <c r="BD99">
        <v>1.7</v>
      </c>
      <c r="BE99">
        <v>1.7</v>
      </c>
      <c r="BF99">
        <v>1.62</v>
      </c>
      <c r="BG99">
        <v>1.63</v>
      </c>
      <c r="BH99">
        <v>1.63</v>
      </c>
      <c r="BI99" s="2" t="s">
        <v>4269</v>
      </c>
      <c r="BL99" s="3">
        <v>42976</v>
      </c>
      <c r="BM99">
        <v>9.23</v>
      </c>
      <c r="BN99">
        <v>9.34</v>
      </c>
      <c r="BO99">
        <v>9.08</v>
      </c>
      <c r="BP99">
        <v>9.14</v>
      </c>
      <c r="BQ99">
        <v>9.14</v>
      </c>
      <c r="BR99" s="2" t="s">
        <v>4846</v>
      </c>
      <c r="BU99" s="3">
        <v>42976</v>
      </c>
      <c r="BV99">
        <v>1.19</v>
      </c>
      <c r="BW99">
        <v>1.19</v>
      </c>
      <c r="BX99">
        <v>1.1599999999999999</v>
      </c>
      <c r="BY99">
        <v>1.18</v>
      </c>
      <c r="BZ99">
        <v>1.1599999999999999</v>
      </c>
      <c r="CA99" s="2" t="s">
        <v>4850</v>
      </c>
      <c r="CD99" s="3">
        <v>42976</v>
      </c>
      <c r="CE99">
        <v>6.8</v>
      </c>
      <c r="CF99">
        <v>6.8</v>
      </c>
      <c r="CG99">
        <v>6.66</v>
      </c>
      <c r="CH99">
        <v>6.77</v>
      </c>
      <c r="CI99">
        <v>6.77</v>
      </c>
      <c r="CJ99" s="2" t="s">
        <v>4854</v>
      </c>
      <c r="CM99" s="3">
        <v>42975</v>
      </c>
      <c r="CN99">
        <v>1.1399999999999999</v>
      </c>
      <c r="CO99">
        <v>1.1499999999999999</v>
      </c>
      <c r="CP99">
        <v>1.1200000000000001</v>
      </c>
      <c r="CQ99">
        <v>1.1399999999999999</v>
      </c>
      <c r="CR99">
        <v>1.1399999999999999</v>
      </c>
      <c r="CS99" s="2" t="s">
        <v>4859</v>
      </c>
      <c r="CV99" s="3">
        <v>42976</v>
      </c>
      <c r="CW99">
        <v>13.88</v>
      </c>
      <c r="CX99">
        <v>14.06</v>
      </c>
      <c r="CY99">
        <v>13.88</v>
      </c>
      <c r="CZ99">
        <v>13.98</v>
      </c>
      <c r="DA99">
        <v>13.98</v>
      </c>
      <c r="DB99" s="2" t="s">
        <v>4862</v>
      </c>
    </row>
    <row r="100" spans="10:106" x14ac:dyDescent="0.4">
      <c r="J100" s="3">
        <v>42976</v>
      </c>
      <c r="K100">
        <v>0.74</v>
      </c>
      <c r="L100">
        <v>0.75</v>
      </c>
      <c r="M100">
        <v>0.71</v>
      </c>
      <c r="N100">
        <v>0.74</v>
      </c>
      <c r="O100">
        <v>0.74</v>
      </c>
      <c r="P100" s="2" t="s">
        <v>4823</v>
      </c>
      <c r="S100" s="3">
        <v>42977</v>
      </c>
      <c r="T100">
        <v>72.349999999999994</v>
      </c>
      <c r="U100">
        <v>72.849999999999994</v>
      </c>
      <c r="V100">
        <v>72.349999999999994</v>
      </c>
      <c r="W100">
        <v>72.849999999999994</v>
      </c>
      <c r="X100">
        <v>72.849999999999994</v>
      </c>
      <c r="Y100" s="2" t="s">
        <v>4826</v>
      </c>
      <c r="AB100" s="3">
        <v>42977</v>
      </c>
      <c r="AC100">
        <v>3.5</v>
      </c>
      <c r="AD100">
        <v>3.51</v>
      </c>
      <c r="AE100">
        <v>3.45</v>
      </c>
      <c r="AF100">
        <v>3.48</v>
      </c>
      <c r="AG100">
        <v>3.48</v>
      </c>
      <c r="AH100" s="2" t="s">
        <v>4830</v>
      </c>
      <c r="AK100" s="3">
        <v>42977</v>
      </c>
      <c r="AL100">
        <v>6.8</v>
      </c>
      <c r="AM100">
        <v>6.87</v>
      </c>
      <c r="AN100">
        <v>6.8</v>
      </c>
      <c r="AO100">
        <v>6.83</v>
      </c>
      <c r="AP100">
        <v>6.83</v>
      </c>
      <c r="AQ100" s="2" t="s">
        <v>4834</v>
      </c>
      <c r="AT100" s="3">
        <v>42977</v>
      </c>
      <c r="AU100">
        <v>1.69</v>
      </c>
      <c r="AV100">
        <v>1.69</v>
      </c>
      <c r="AW100">
        <v>1.67</v>
      </c>
      <c r="AX100">
        <v>1.68</v>
      </c>
      <c r="AY100">
        <v>1.68</v>
      </c>
      <c r="AZ100" s="2" t="s">
        <v>4838</v>
      </c>
      <c r="BC100" s="3">
        <v>42976</v>
      </c>
      <c r="BD100">
        <v>1.62</v>
      </c>
      <c r="BE100">
        <v>1.62</v>
      </c>
      <c r="BF100">
        <v>1.61</v>
      </c>
      <c r="BG100">
        <v>1.62</v>
      </c>
      <c r="BH100">
        <v>1.62</v>
      </c>
      <c r="BI100" s="2" t="s">
        <v>4843</v>
      </c>
      <c r="BL100" s="3">
        <v>42977</v>
      </c>
      <c r="BM100">
        <v>9.1</v>
      </c>
      <c r="BN100">
        <v>9.34</v>
      </c>
      <c r="BO100">
        <v>8.59</v>
      </c>
      <c r="BP100">
        <v>8.6199999999999992</v>
      </c>
      <c r="BQ100">
        <v>8.6199999999999992</v>
      </c>
      <c r="BR100" s="2" t="s">
        <v>4845</v>
      </c>
      <c r="BU100" s="3">
        <v>42977</v>
      </c>
      <c r="BV100">
        <v>1.1599999999999999</v>
      </c>
      <c r="BW100">
        <v>1.1599999999999999</v>
      </c>
      <c r="BX100">
        <v>1.1399999999999999</v>
      </c>
      <c r="BY100">
        <v>1.1399999999999999</v>
      </c>
      <c r="BZ100">
        <v>1.1399999999999999</v>
      </c>
      <c r="CA100" s="2" t="s">
        <v>4849</v>
      </c>
      <c r="CD100" s="3">
        <v>42977</v>
      </c>
      <c r="CE100">
        <v>6.74</v>
      </c>
      <c r="CF100">
        <v>6.74</v>
      </c>
      <c r="CG100">
        <v>6.62</v>
      </c>
      <c r="CH100">
        <v>6.7</v>
      </c>
      <c r="CI100">
        <v>6.7</v>
      </c>
      <c r="CJ100" s="2" t="s">
        <v>4853</v>
      </c>
      <c r="CM100" s="3">
        <v>42976</v>
      </c>
      <c r="CN100">
        <v>1.1200000000000001</v>
      </c>
      <c r="CO100">
        <v>1.1399999999999999</v>
      </c>
      <c r="CP100">
        <v>1.1200000000000001</v>
      </c>
      <c r="CQ100">
        <v>1.1299999999999999</v>
      </c>
      <c r="CR100">
        <v>1.1299999999999999</v>
      </c>
      <c r="CS100" s="2" t="s">
        <v>4858</v>
      </c>
      <c r="CV100" s="3">
        <v>42977</v>
      </c>
      <c r="CW100">
        <v>14.02</v>
      </c>
      <c r="CX100">
        <v>14.16</v>
      </c>
      <c r="CY100">
        <v>13.98</v>
      </c>
      <c r="CZ100">
        <v>14.02</v>
      </c>
      <c r="DA100">
        <v>14.02</v>
      </c>
      <c r="DB100" s="2" t="s">
        <v>4861</v>
      </c>
    </row>
    <row r="101" spans="10:106" x14ac:dyDescent="0.4">
      <c r="J101" s="3">
        <v>42977</v>
      </c>
      <c r="K101">
        <v>0.74</v>
      </c>
      <c r="L101">
        <v>0.75</v>
      </c>
      <c r="M101">
        <v>0.73</v>
      </c>
      <c r="N101">
        <v>0.73</v>
      </c>
      <c r="O101">
        <v>0.73</v>
      </c>
      <c r="P101" s="2" t="s">
        <v>4822</v>
      </c>
      <c r="S101" s="3">
        <v>42978</v>
      </c>
      <c r="T101">
        <v>72.8</v>
      </c>
      <c r="U101">
        <v>72.8</v>
      </c>
      <c r="V101">
        <v>72.349999999999994</v>
      </c>
      <c r="W101">
        <v>72.400000000000006</v>
      </c>
      <c r="X101">
        <v>72.400000000000006</v>
      </c>
      <c r="Y101" s="2" t="s">
        <v>4825</v>
      </c>
      <c r="AB101" s="3">
        <v>42978</v>
      </c>
      <c r="AC101">
        <v>3.5</v>
      </c>
      <c r="AD101">
        <v>3.55</v>
      </c>
      <c r="AE101">
        <v>3.48</v>
      </c>
      <c r="AF101">
        <v>3.53</v>
      </c>
      <c r="AG101">
        <v>3.53</v>
      </c>
      <c r="AH101" s="2" t="s">
        <v>4829</v>
      </c>
      <c r="AK101" s="3">
        <v>42978</v>
      </c>
      <c r="AL101">
        <v>6.81</v>
      </c>
      <c r="AM101">
        <v>6.87</v>
      </c>
      <c r="AN101">
        <v>6.76</v>
      </c>
      <c r="AO101">
        <v>6.83</v>
      </c>
      <c r="AP101">
        <v>6.83</v>
      </c>
      <c r="AQ101" s="2" t="s">
        <v>4833</v>
      </c>
      <c r="AT101" s="3">
        <v>42978</v>
      </c>
      <c r="AU101">
        <v>1.68</v>
      </c>
      <c r="AV101">
        <v>1.7</v>
      </c>
      <c r="AW101">
        <v>1.66</v>
      </c>
      <c r="AX101">
        <v>1.7</v>
      </c>
      <c r="AY101">
        <v>1.7</v>
      </c>
      <c r="AZ101" s="2" t="s">
        <v>4837</v>
      </c>
      <c r="BC101" s="3">
        <v>42977</v>
      </c>
      <c r="BD101">
        <v>1.61</v>
      </c>
      <c r="BE101">
        <v>1.61</v>
      </c>
      <c r="BF101">
        <v>1.57</v>
      </c>
      <c r="BG101">
        <v>1.59</v>
      </c>
      <c r="BH101">
        <v>1.59</v>
      </c>
      <c r="BI101" s="2" t="s">
        <v>4842</v>
      </c>
      <c r="BL101" s="3">
        <v>42978</v>
      </c>
      <c r="BM101">
        <v>8.59</v>
      </c>
      <c r="BN101">
        <v>9.25</v>
      </c>
      <c r="BO101">
        <v>8.5</v>
      </c>
      <c r="BP101">
        <v>9.25</v>
      </c>
      <c r="BQ101">
        <v>9.25</v>
      </c>
      <c r="BR101" s="2" t="s">
        <v>4844</v>
      </c>
      <c r="BU101" s="3">
        <v>42978</v>
      </c>
      <c r="BV101">
        <v>1.1399999999999999</v>
      </c>
      <c r="BW101">
        <v>1.1599999999999999</v>
      </c>
      <c r="BX101">
        <v>1.1399999999999999</v>
      </c>
      <c r="BY101">
        <v>1.1599999999999999</v>
      </c>
      <c r="BZ101">
        <v>1.1599999999999999</v>
      </c>
      <c r="CA101" s="2" t="s">
        <v>4848</v>
      </c>
      <c r="CD101" s="3">
        <v>42978</v>
      </c>
      <c r="CE101">
        <v>6.7</v>
      </c>
      <c r="CF101">
        <v>6.8</v>
      </c>
      <c r="CG101">
        <v>6.67</v>
      </c>
      <c r="CH101">
        <v>6.8</v>
      </c>
      <c r="CI101">
        <v>6.8</v>
      </c>
      <c r="CJ101" s="2" t="s">
        <v>4852</v>
      </c>
      <c r="CM101" s="3">
        <v>42977</v>
      </c>
      <c r="CN101">
        <v>1.1299999999999999</v>
      </c>
      <c r="CO101">
        <v>1.1399999999999999</v>
      </c>
      <c r="CP101">
        <v>1.1200000000000001</v>
      </c>
      <c r="CQ101">
        <v>1.1299999999999999</v>
      </c>
      <c r="CR101">
        <v>1.1299999999999999</v>
      </c>
      <c r="CS101" s="2" t="s">
        <v>4857</v>
      </c>
      <c r="CV101" s="3">
        <v>42978</v>
      </c>
      <c r="CW101">
        <v>14.02</v>
      </c>
      <c r="CX101">
        <v>14.04</v>
      </c>
      <c r="CY101">
        <v>13.86</v>
      </c>
      <c r="CZ101">
        <v>13.9</v>
      </c>
      <c r="DA101">
        <v>13.9</v>
      </c>
      <c r="DB101" s="2" t="s">
        <v>4860</v>
      </c>
    </row>
    <row r="102" spans="10:106" x14ac:dyDescent="0.4">
      <c r="J102" s="3">
        <v>42978</v>
      </c>
      <c r="K102">
        <v>0.75</v>
      </c>
      <c r="L102">
        <v>0.77</v>
      </c>
      <c r="M102">
        <v>0.73</v>
      </c>
      <c r="N102">
        <v>0.75</v>
      </c>
      <c r="O102">
        <v>0.75</v>
      </c>
      <c r="P102" s="2" t="s">
        <v>4415</v>
      </c>
      <c r="BC102" s="3">
        <v>42978</v>
      </c>
      <c r="BD102">
        <v>1.59</v>
      </c>
      <c r="BE102">
        <v>1.63</v>
      </c>
      <c r="BF102">
        <v>1.59</v>
      </c>
      <c r="BG102">
        <v>1.6</v>
      </c>
      <c r="BH102">
        <v>1.6</v>
      </c>
      <c r="BI102" s="2" t="s">
        <v>4841</v>
      </c>
      <c r="CM102" s="3">
        <v>42978</v>
      </c>
      <c r="CN102">
        <v>1.1299999999999999</v>
      </c>
      <c r="CO102">
        <v>1.1399999999999999</v>
      </c>
      <c r="CP102">
        <v>1.1100000000000001</v>
      </c>
      <c r="CQ102">
        <v>1.1299999999999999</v>
      </c>
      <c r="CR102">
        <v>1.1299999999999999</v>
      </c>
      <c r="CS102" s="2" t="s">
        <v>4856</v>
      </c>
    </row>
  </sheetData>
  <mergeCells count="11">
    <mergeCell ref="CV1:DB1"/>
    <mergeCell ref="J1:P1"/>
    <mergeCell ref="S1:Y1"/>
    <mergeCell ref="AB1:AH1"/>
    <mergeCell ref="AK1:AQ1"/>
    <mergeCell ref="AT1:AZ1"/>
    <mergeCell ref="CD1:CJ1"/>
    <mergeCell ref="BC1:BI1"/>
    <mergeCell ref="BL1:BR1"/>
    <mergeCell ref="BU1:CA1"/>
    <mergeCell ref="CM1:CS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autoFill="0" autoPict="0" macro="[0]!data_enquiry_01">
                <anchor moveWithCells="1" sizeWithCells="1">
                  <from>
                    <xdr:col>4</xdr:col>
                    <xdr:colOff>19050</xdr:colOff>
                    <xdr:row>1</xdr:row>
                    <xdr:rowOff>0</xdr:rowOff>
                  </from>
                  <to>
                    <xdr:col>7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2">
              <controlPr defaultSize="0" print="0" autoFill="0" autoPict="0" macro="[0]!data_enquiry_02">
                <anchor moveWithCells="1" sizeWithCells="1">
                  <from>
                    <xdr:col>4</xdr:col>
                    <xdr:colOff>0</xdr:colOff>
                    <xdr:row>3</xdr:row>
                    <xdr:rowOff>157163</xdr:rowOff>
                  </from>
                  <to>
                    <xdr:col>7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2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2D599-8307-4B13-B26E-FC65A8BCBA35}">
  <sheetPr codeName="工作表1"/>
  <dimension ref="A1:B1913"/>
  <sheetViews>
    <sheetView workbookViewId="0"/>
  </sheetViews>
  <sheetFormatPr defaultRowHeight="13.15" x14ac:dyDescent="0.4"/>
  <cols>
    <col min="1" max="1" width="9.5" bestFit="1" customWidth="1"/>
    <col min="2" max="2" width="56.875" bestFit="1" customWidth="1"/>
  </cols>
  <sheetData>
    <row r="1" spans="1:2" x14ac:dyDescent="0.4">
      <c r="A1" t="s">
        <v>13</v>
      </c>
      <c r="B1" t="s">
        <v>14</v>
      </c>
    </row>
    <row r="2" spans="1:2" x14ac:dyDescent="0.4">
      <c r="A2" s="2" t="s">
        <v>15</v>
      </c>
      <c r="B2" s="2" t="s">
        <v>16</v>
      </c>
    </row>
    <row r="3" spans="1:2" x14ac:dyDescent="0.4">
      <c r="A3" s="2" t="s">
        <v>17</v>
      </c>
      <c r="B3" s="2" t="s">
        <v>18</v>
      </c>
    </row>
    <row r="4" spans="1:2" x14ac:dyDescent="0.4">
      <c r="A4" s="2" t="s">
        <v>19</v>
      </c>
      <c r="B4" s="2" t="s">
        <v>20</v>
      </c>
    </row>
    <row r="5" spans="1:2" x14ac:dyDescent="0.4">
      <c r="A5" s="2" t="s">
        <v>21</v>
      </c>
      <c r="B5" s="2" t="s">
        <v>22</v>
      </c>
    </row>
    <row r="6" spans="1:2" x14ac:dyDescent="0.4">
      <c r="A6" s="2" t="s">
        <v>23</v>
      </c>
      <c r="B6" s="2" t="s">
        <v>24</v>
      </c>
    </row>
    <row r="7" spans="1:2" x14ac:dyDescent="0.4">
      <c r="A7" s="2" t="s">
        <v>25</v>
      </c>
      <c r="B7" s="2" t="s">
        <v>26</v>
      </c>
    </row>
    <row r="8" spans="1:2" x14ac:dyDescent="0.4">
      <c r="A8" s="2" t="s">
        <v>27</v>
      </c>
      <c r="B8" s="2" t="s">
        <v>28</v>
      </c>
    </row>
    <row r="9" spans="1:2" x14ac:dyDescent="0.4">
      <c r="A9" s="2" t="s">
        <v>29</v>
      </c>
      <c r="B9" s="2" t="s">
        <v>30</v>
      </c>
    </row>
    <row r="10" spans="1:2" x14ac:dyDescent="0.4">
      <c r="A10" s="2" t="s">
        <v>31</v>
      </c>
      <c r="B10" s="2" t="s">
        <v>32</v>
      </c>
    </row>
    <row r="11" spans="1:2" x14ac:dyDescent="0.4">
      <c r="A11" s="2" t="s">
        <v>33</v>
      </c>
      <c r="B11" s="2" t="s">
        <v>34</v>
      </c>
    </row>
    <row r="12" spans="1:2" x14ac:dyDescent="0.4">
      <c r="A12" s="2" t="s">
        <v>35</v>
      </c>
      <c r="B12" s="2" t="s">
        <v>36</v>
      </c>
    </row>
    <row r="13" spans="1:2" x14ac:dyDescent="0.4">
      <c r="A13" s="2" t="s">
        <v>37</v>
      </c>
      <c r="B13" s="2" t="s">
        <v>38</v>
      </c>
    </row>
    <row r="14" spans="1:2" x14ac:dyDescent="0.4">
      <c r="A14" s="2" t="s">
        <v>39</v>
      </c>
      <c r="B14" s="2" t="s">
        <v>40</v>
      </c>
    </row>
    <row r="15" spans="1:2" x14ac:dyDescent="0.4">
      <c r="A15" s="2" t="s">
        <v>41</v>
      </c>
      <c r="B15" s="2" t="s">
        <v>42</v>
      </c>
    </row>
    <row r="16" spans="1:2" x14ac:dyDescent="0.4">
      <c r="A16" s="2" t="s">
        <v>43</v>
      </c>
      <c r="B16" s="2" t="s">
        <v>44</v>
      </c>
    </row>
    <row r="17" spans="1:2" x14ac:dyDescent="0.4">
      <c r="A17" s="2" t="s">
        <v>45</v>
      </c>
      <c r="B17" s="2" t="s">
        <v>46</v>
      </c>
    </row>
    <row r="18" spans="1:2" x14ac:dyDescent="0.4">
      <c r="A18" s="2" t="s">
        <v>47</v>
      </c>
      <c r="B18" s="2" t="s">
        <v>48</v>
      </c>
    </row>
    <row r="19" spans="1:2" x14ac:dyDescent="0.4">
      <c r="A19" s="2" t="s">
        <v>49</v>
      </c>
      <c r="B19" s="2" t="s">
        <v>50</v>
      </c>
    </row>
    <row r="20" spans="1:2" x14ac:dyDescent="0.4">
      <c r="A20" s="2" t="s">
        <v>51</v>
      </c>
      <c r="B20" s="2" t="s">
        <v>52</v>
      </c>
    </row>
    <row r="21" spans="1:2" x14ac:dyDescent="0.4">
      <c r="A21" s="2" t="s">
        <v>53</v>
      </c>
      <c r="B21" s="2" t="s">
        <v>54</v>
      </c>
    </row>
    <row r="22" spans="1:2" x14ac:dyDescent="0.4">
      <c r="A22" s="2" t="s">
        <v>55</v>
      </c>
      <c r="B22" s="2" t="s">
        <v>56</v>
      </c>
    </row>
    <row r="23" spans="1:2" x14ac:dyDescent="0.4">
      <c r="A23" s="2" t="s">
        <v>57</v>
      </c>
      <c r="B23" s="2" t="s">
        <v>58</v>
      </c>
    </row>
    <row r="24" spans="1:2" x14ac:dyDescent="0.4">
      <c r="A24" s="2" t="s">
        <v>59</v>
      </c>
      <c r="B24" s="2" t="s">
        <v>60</v>
      </c>
    </row>
    <row r="25" spans="1:2" x14ac:dyDescent="0.4">
      <c r="A25" s="2" t="s">
        <v>61</v>
      </c>
      <c r="B25" s="2" t="s">
        <v>62</v>
      </c>
    </row>
    <row r="26" spans="1:2" x14ac:dyDescent="0.4">
      <c r="A26" s="2" t="s">
        <v>63</v>
      </c>
      <c r="B26" s="2" t="s">
        <v>64</v>
      </c>
    </row>
    <row r="27" spans="1:2" x14ac:dyDescent="0.4">
      <c r="A27" s="2" t="s">
        <v>65</v>
      </c>
      <c r="B27" s="2" t="s">
        <v>66</v>
      </c>
    </row>
    <row r="28" spans="1:2" x14ac:dyDescent="0.4">
      <c r="A28" s="2" t="s">
        <v>67</v>
      </c>
      <c r="B28" s="2" t="s">
        <v>68</v>
      </c>
    </row>
    <row r="29" spans="1:2" x14ac:dyDescent="0.4">
      <c r="A29" s="2" t="s">
        <v>69</v>
      </c>
      <c r="B29" s="2" t="s">
        <v>70</v>
      </c>
    </row>
    <row r="30" spans="1:2" x14ac:dyDescent="0.4">
      <c r="A30" s="2" t="s">
        <v>71</v>
      </c>
      <c r="B30" s="2" t="s">
        <v>72</v>
      </c>
    </row>
    <row r="31" spans="1:2" x14ac:dyDescent="0.4">
      <c r="A31" s="2" t="s">
        <v>73</v>
      </c>
      <c r="B31" s="2" t="s">
        <v>74</v>
      </c>
    </row>
    <row r="32" spans="1:2" x14ac:dyDescent="0.4">
      <c r="A32" s="2" t="s">
        <v>75</v>
      </c>
      <c r="B32" s="2" t="s">
        <v>76</v>
      </c>
    </row>
    <row r="33" spans="1:2" x14ac:dyDescent="0.4">
      <c r="A33" s="2" t="s">
        <v>77</v>
      </c>
      <c r="B33" s="2" t="s">
        <v>78</v>
      </c>
    </row>
    <row r="34" spans="1:2" x14ac:dyDescent="0.4">
      <c r="A34" s="2" t="s">
        <v>79</v>
      </c>
      <c r="B34" s="2" t="s">
        <v>80</v>
      </c>
    </row>
    <row r="35" spans="1:2" x14ac:dyDescent="0.4">
      <c r="A35" s="2" t="s">
        <v>81</v>
      </c>
      <c r="B35" s="2" t="s">
        <v>82</v>
      </c>
    </row>
    <row r="36" spans="1:2" x14ac:dyDescent="0.4">
      <c r="A36" s="2" t="s">
        <v>83</v>
      </c>
      <c r="B36" s="2" t="s">
        <v>84</v>
      </c>
    </row>
    <row r="37" spans="1:2" x14ac:dyDescent="0.4">
      <c r="A37" s="2" t="s">
        <v>85</v>
      </c>
      <c r="B37" s="2" t="s">
        <v>86</v>
      </c>
    </row>
    <row r="38" spans="1:2" x14ac:dyDescent="0.4">
      <c r="A38" s="2" t="s">
        <v>87</v>
      </c>
      <c r="B38" s="2" t="s">
        <v>88</v>
      </c>
    </row>
    <row r="39" spans="1:2" x14ac:dyDescent="0.4">
      <c r="A39" s="2" t="s">
        <v>89</v>
      </c>
      <c r="B39" s="2" t="s">
        <v>90</v>
      </c>
    </row>
    <row r="40" spans="1:2" x14ac:dyDescent="0.4">
      <c r="A40" s="2" t="s">
        <v>91</v>
      </c>
      <c r="B40" s="2" t="s">
        <v>92</v>
      </c>
    </row>
    <row r="41" spans="1:2" x14ac:dyDescent="0.4">
      <c r="A41" s="2" t="s">
        <v>93</v>
      </c>
      <c r="B41" s="2" t="s">
        <v>94</v>
      </c>
    </row>
    <row r="42" spans="1:2" x14ac:dyDescent="0.4">
      <c r="A42" s="2" t="s">
        <v>95</v>
      </c>
      <c r="B42" s="2" t="s">
        <v>96</v>
      </c>
    </row>
    <row r="43" spans="1:2" x14ac:dyDescent="0.4">
      <c r="A43" s="2" t="s">
        <v>97</v>
      </c>
      <c r="B43" s="2" t="s">
        <v>98</v>
      </c>
    </row>
    <row r="44" spans="1:2" x14ac:dyDescent="0.4">
      <c r="A44" s="2" t="s">
        <v>99</v>
      </c>
      <c r="B44" s="2" t="s">
        <v>100</v>
      </c>
    </row>
    <row r="45" spans="1:2" x14ac:dyDescent="0.4">
      <c r="A45" s="2" t="s">
        <v>101</v>
      </c>
      <c r="B45" s="2" t="s">
        <v>102</v>
      </c>
    </row>
    <row r="46" spans="1:2" x14ac:dyDescent="0.4">
      <c r="A46" s="2" t="s">
        <v>103</v>
      </c>
      <c r="B46" s="2" t="s">
        <v>104</v>
      </c>
    </row>
    <row r="47" spans="1:2" x14ac:dyDescent="0.4">
      <c r="A47" s="2" t="s">
        <v>105</v>
      </c>
      <c r="B47" s="2" t="s">
        <v>106</v>
      </c>
    </row>
    <row r="48" spans="1:2" x14ac:dyDescent="0.4">
      <c r="A48" s="2" t="s">
        <v>107</v>
      </c>
      <c r="B48" s="2" t="s">
        <v>108</v>
      </c>
    </row>
    <row r="49" spans="1:2" x14ac:dyDescent="0.4">
      <c r="A49" s="2" t="s">
        <v>109</v>
      </c>
      <c r="B49" s="2" t="s">
        <v>110</v>
      </c>
    </row>
    <row r="50" spans="1:2" x14ac:dyDescent="0.4">
      <c r="A50" s="2" t="s">
        <v>111</v>
      </c>
      <c r="B50" s="2" t="s">
        <v>112</v>
      </c>
    </row>
    <row r="51" spans="1:2" x14ac:dyDescent="0.4">
      <c r="A51" s="2" t="s">
        <v>113</v>
      </c>
      <c r="B51" s="2" t="s">
        <v>114</v>
      </c>
    </row>
    <row r="52" spans="1:2" x14ac:dyDescent="0.4">
      <c r="A52" s="2" t="s">
        <v>115</v>
      </c>
      <c r="B52" s="2" t="s">
        <v>116</v>
      </c>
    </row>
    <row r="53" spans="1:2" x14ac:dyDescent="0.4">
      <c r="A53" s="2" t="s">
        <v>117</v>
      </c>
      <c r="B53" s="2" t="s">
        <v>118</v>
      </c>
    </row>
    <row r="54" spans="1:2" x14ac:dyDescent="0.4">
      <c r="A54" s="2" t="s">
        <v>119</v>
      </c>
      <c r="B54" s="2" t="s">
        <v>120</v>
      </c>
    </row>
    <row r="55" spans="1:2" x14ac:dyDescent="0.4">
      <c r="A55" s="2" t="s">
        <v>121</v>
      </c>
      <c r="B55" s="2" t="s">
        <v>122</v>
      </c>
    </row>
    <row r="56" spans="1:2" x14ac:dyDescent="0.4">
      <c r="A56" s="2" t="s">
        <v>123</v>
      </c>
      <c r="B56" s="2" t="s">
        <v>124</v>
      </c>
    </row>
    <row r="57" spans="1:2" x14ac:dyDescent="0.4">
      <c r="A57" s="2" t="s">
        <v>125</v>
      </c>
      <c r="B57" s="2" t="s">
        <v>126</v>
      </c>
    </row>
    <row r="58" spans="1:2" x14ac:dyDescent="0.4">
      <c r="A58" s="2" t="s">
        <v>127</v>
      </c>
      <c r="B58" s="2" t="s">
        <v>128</v>
      </c>
    </row>
    <row r="59" spans="1:2" x14ac:dyDescent="0.4">
      <c r="A59" s="2" t="s">
        <v>129</v>
      </c>
      <c r="B59" s="2" t="s">
        <v>130</v>
      </c>
    </row>
    <row r="60" spans="1:2" x14ac:dyDescent="0.4">
      <c r="A60" s="2" t="s">
        <v>131</v>
      </c>
      <c r="B60" s="2" t="s">
        <v>132</v>
      </c>
    </row>
    <row r="61" spans="1:2" x14ac:dyDescent="0.4">
      <c r="A61" s="2" t="s">
        <v>133</v>
      </c>
      <c r="B61" s="2" t="s">
        <v>134</v>
      </c>
    </row>
    <row r="62" spans="1:2" x14ac:dyDescent="0.4">
      <c r="A62" s="2" t="s">
        <v>135</v>
      </c>
      <c r="B62" s="2" t="s">
        <v>136</v>
      </c>
    </row>
    <row r="63" spans="1:2" x14ac:dyDescent="0.4">
      <c r="A63" s="2" t="s">
        <v>137</v>
      </c>
      <c r="B63" s="2" t="s">
        <v>138</v>
      </c>
    </row>
    <row r="64" spans="1:2" x14ac:dyDescent="0.4">
      <c r="A64" s="2" t="s">
        <v>139</v>
      </c>
      <c r="B64" s="2" t="s">
        <v>140</v>
      </c>
    </row>
    <row r="65" spans="1:2" x14ac:dyDescent="0.4">
      <c r="A65" s="2" t="s">
        <v>141</v>
      </c>
      <c r="B65" s="2" t="s">
        <v>142</v>
      </c>
    </row>
    <row r="66" spans="1:2" x14ac:dyDescent="0.4">
      <c r="A66" s="2" t="s">
        <v>143</v>
      </c>
      <c r="B66" s="2" t="s">
        <v>144</v>
      </c>
    </row>
    <row r="67" spans="1:2" x14ac:dyDescent="0.4">
      <c r="A67" s="2" t="s">
        <v>145</v>
      </c>
      <c r="B67" s="2" t="s">
        <v>146</v>
      </c>
    </row>
    <row r="68" spans="1:2" x14ac:dyDescent="0.4">
      <c r="A68" s="2" t="s">
        <v>147</v>
      </c>
      <c r="B68" s="2" t="s">
        <v>148</v>
      </c>
    </row>
    <row r="69" spans="1:2" x14ac:dyDescent="0.4">
      <c r="A69" s="2" t="s">
        <v>149</v>
      </c>
      <c r="B69" s="2" t="s">
        <v>150</v>
      </c>
    </row>
    <row r="70" spans="1:2" x14ac:dyDescent="0.4">
      <c r="A70" s="2" t="s">
        <v>151</v>
      </c>
      <c r="B70" s="2" t="s">
        <v>152</v>
      </c>
    </row>
    <row r="71" spans="1:2" x14ac:dyDescent="0.4">
      <c r="A71" s="2" t="s">
        <v>153</v>
      </c>
      <c r="B71" s="2" t="s">
        <v>154</v>
      </c>
    </row>
    <row r="72" spans="1:2" x14ac:dyDescent="0.4">
      <c r="A72" s="2" t="s">
        <v>155</v>
      </c>
      <c r="B72" s="2" t="s">
        <v>156</v>
      </c>
    </row>
    <row r="73" spans="1:2" x14ac:dyDescent="0.4">
      <c r="A73" s="2" t="s">
        <v>157</v>
      </c>
      <c r="B73" s="2" t="s">
        <v>158</v>
      </c>
    </row>
    <row r="74" spans="1:2" x14ac:dyDescent="0.4">
      <c r="A74" s="2" t="s">
        <v>159</v>
      </c>
      <c r="B74" s="2" t="s">
        <v>160</v>
      </c>
    </row>
    <row r="75" spans="1:2" x14ac:dyDescent="0.4">
      <c r="A75" s="2" t="s">
        <v>161</v>
      </c>
      <c r="B75" s="2" t="s">
        <v>162</v>
      </c>
    </row>
    <row r="76" spans="1:2" x14ac:dyDescent="0.4">
      <c r="A76" s="2" t="s">
        <v>163</v>
      </c>
      <c r="B76" s="2" t="s">
        <v>164</v>
      </c>
    </row>
    <row r="77" spans="1:2" x14ac:dyDescent="0.4">
      <c r="A77" s="2" t="s">
        <v>165</v>
      </c>
      <c r="B77" s="2" t="s">
        <v>166</v>
      </c>
    </row>
    <row r="78" spans="1:2" x14ac:dyDescent="0.4">
      <c r="A78" s="2" t="s">
        <v>167</v>
      </c>
      <c r="B78" s="2" t="s">
        <v>168</v>
      </c>
    </row>
    <row r="79" spans="1:2" x14ac:dyDescent="0.4">
      <c r="A79" s="2" t="s">
        <v>169</v>
      </c>
      <c r="B79" s="2" t="s">
        <v>170</v>
      </c>
    </row>
    <row r="80" spans="1:2" x14ac:dyDescent="0.4">
      <c r="A80" s="2" t="s">
        <v>171</v>
      </c>
      <c r="B80" s="2" t="s">
        <v>172</v>
      </c>
    </row>
    <row r="81" spans="1:2" x14ac:dyDescent="0.4">
      <c r="A81" s="2" t="s">
        <v>173</v>
      </c>
      <c r="B81" s="2" t="s">
        <v>174</v>
      </c>
    </row>
    <row r="82" spans="1:2" x14ac:dyDescent="0.4">
      <c r="A82" s="2" t="s">
        <v>175</v>
      </c>
      <c r="B82" s="2" t="s">
        <v>176</v>
      </c>
    </row>
    <row r="83" spans="1:2" x14ac:dyDescent="0.4">
      <c r="A83" s="2" t="s">
        <v>177</v>
      </c>
      <c r="B83" s="2" t="s">
        <v>178</v>
      </c>
    </row>
    <row r="84" spans="1:2" x14ac:dyDescent="0.4">
      <c r="A84" s="2" t="s">
        <v>179</v>
      </c>
      <c r="B84" s="2" t="s">
        <v>180</v>
      </c>
    </row>
    <row r="85" spans="1:2" x14ac:dyDescent="0.4">
      <c r="A85" s="2" t="s">
        <v>181</v>
      </c>
      <c r="B85" s="2" t="s">
        <v>182</v>
      </c>
    </row>
    <row r="86" spans="1:2" x14ac:dyDescent="0.4">
      <c r="A86" s="2" t="s">
        <v>183</v>
      </c>
      <c r="B86" s="2" t="s">
        <v>184</v>
      </c>
    </row>
    <row r="87" spans="1:2" x14ac:dyDescent="0.4">
      <c r="A87" s="2" t="s">
        <v>185</v>
      </c>
      <c r="B87" s="2" t="s">
        <v>186</v>
      </c>
    </row>
    <row r="88" spans="1:2" x14ac:dyDescent="0.4">
      <c r="A88" s="2" t="s">
        <v>187</v>
      </c>
      <c r="B88" s="2" t="s">
        <v>188</v>
      </c>
    </row>
    <row r="89" spans="1:2" x14ac:dyDescent="0.4">
      <c r="A89" s="2" t="s">
        <v>189</v>
      </c>
      <c r="B89" s="2" t="s">
        <v>190</v>
      </c>
    </row>
    <row r="90" spans="1:2" x14ac:dyDescent="0.4">
      <c r="A90" s="2" t="s">
        <v>191</v>
      </c>
      <c r="B90" s="2" t="s">
        <v>192</v>
      </c>
    </row>
    <row r="91" spans="1:2" x14ac:dyDescent="0.4">
      <c r="A91" s="2" t="s">
        <v>193</v>
      </c>
      <c r="B91" s="2" t="s">
        <v>194</v>
      </c>
    </row>
    <row r="92" spans="1:2" x14ac:dyDescent="0.4">
      <c r="A92" s="2" t="s">
        <v>195</v>
      </c>
      <c r="B92" s="2" t="s">
        <v>196</v>
      </c>
    </row>
    <row r="93" spans="1:2" x14ac:dyDescent="0.4">
      <c r="A93" s="2" t="s">
        <v>197</v>
      </c>
      <c r="B93" s="2" t="s">
        <v>198</v>
      </c>
    </row>
    <row r="94" spans="1:2" x14ac:dyDescent="0.4">
      <c r="A94" s="2" t="s">
        <v>199</v>
      </c>
      <c r="B94" s="2" t="s">
        <v>200</v>
      </c>
    </row>
    <row r="95" spans="1:2" x14ac:dyDescent="0.4">
      <c r="A95" s="2" t="s">
        <v>201</v>
      </c>
      <c r="B95" s="2" t="s">
        <v>202</v>
      </c>
    </row>
    <row r="96" spans="1:2" x14ac:dyDescent="0.4">
      <c r="A96" s="2" t="s">
        <v>203</v>
      </c>
      <c r="B96" s="2" t="s">
        <v>204</v>
      </c>
    </row>
    <row r="97" spans="1:2" x14ac:dyDescent="0.4">
      <c r="A97" s="2" t="s">
        <v>205</v>
      </c>
      <c r="B97" s="2" t="s">
        <v>206</v>
      </c>
    </row>
    <row r="98" spans="1:2" x14ac:dyDescent="0.4">
      <c r="A98" s="2" t="s">
        <v>207</v>
      </c>
      <c r="B98" s="2" t="s">
        <v>208</v>
      </c>
    </row>
    <row r="99" spans="1:2" x14ac:dyDescent="0.4">
      <c r="A99" s="2" t="s">
        <v>209</v>
      </c>
      <c r="B99" s="2" t="s">
        <v>210</v>
      </c>
    </row>
    <row r="100" spans="1:2" x14ac:dyDescent="0.4">
      <c r="A100" s="2" t="s">
        <v>211</v>
      </c>
      <c r="B100" s="2" t="s">
        <v>212</v>
      </c>
    </row>
    <row r="101" spans="1:2" x14ac:dyDescent="0.4">
      <c r="A101" s="2" t="s">
        <v>213</v>
      </c>
      <c r="B101" s="2" t="s">
        <v>214</v>
      </c>
    </row>
    <row r="102" spans="1:2" x14ac:dyDescent="0.4">
      <c r="A102" s="2" t="s">
        <v>215</v>
      </c>
      <c r="B102" s="2" t="s">
        <v>216</v>
      </c>
    </row>
    <row r="103" spans="1:2" x14ac:dyDescent="0.4">
      <c r="A103" s="2" t="s">
        <v>217</v>
      </c>
      <c r="B103" s="2" t="s">
        <v>218</v>
      </c>
    </row>
    <row r="104" spans="1:2" x14ac:dyDescent="0.4">
      <c r="A104" s="2" t="s">
        <v>219</v>
      </c>
      <c r="B104" s="2" t="s">
        <v>220</v>
      </c>
    </row>
    <row r="105" spans="1:2" x14ac:dyDescent="0.4">
      <c r="A105" s="2" t="s">
        <v>221</v>
      </c>
      <c r="B105" s="2" t="s">
        <v>222</v>
      </c>
    </row>
    <row r="106" spans="1:2" x14ac:dyDescent="0.4">
      <c r="A106" s="2" t="s">
        <v>223</v>
      </c>
      <c r="B106" s="2" t="s">
        <v>224</v>
      </c>
    </row>
    <row r="107" spans="1:2" x14ac:dyDescent="0.4">
      <c r="A107" s="2" t="s">
        <v>225</v>
      </c>
      <c r="B107" s="2" t="s">
        <v>226</v>
      </c>
    </row>
    <row r="108" spans="1:2" x14ac:dyDescent="0.4">
      <c r="A108" s="2" t="s">
        <v>227</v>
      </c>
      <c r="B108" s="2" t="s">
        <v>228</v>
      </c>
    </row>
    <row r="109" spans="1:2" x14ac:dyDescent="0.4">
      <c r="A109" s="2" t="s">
        <v>229</v>
      </c>
      <c r="B109" s="2" t="s">
        <v>230</v>
      </c>
    </row>
    <row r="110" spans="1:2" x14ac:dyDescent="0.4">
      <c r="A110" s="2" t="s">
        <v>231</v>
      </c>
      <c r="B110" s="2" t="s">
        <v>232</v>
      </c>
    </row>
    <row r="111" spans="1:2" x14ac:dyDescent="0.4">
      <c r="A111" s="2" t="s">
        <v>233</v>
      </c>
      <c r="B111" s="2" t="s">
        <v>234</v>
      </c>
    </row>
    <row r="112" spans="1:2" x14ac:dyDescent="0.4">
      <c r="A112" s="2" t="s">
        <v>235</v>
      </c>
      <c r="B112" s="2" t="s">
        <v>236</v>
      </c>
    </row>
    <row r="113" spans="1:2" x14ac:dyDescent="0.4">
      <c r="A113" s="2" t="s">
        <v>237</v>
      </c>
      <c r="B113" s="2" t="s">
        <v>238</v>
      </c>
    </row>
    <row r="114" spans="1:2" x14ac:dyDescent="0.4">
      <c r="A114" s="2" t="s">
        <v>239</v>
      </c>
      <c r="B114" s="2" t="s">
        <v>240</v>
      </c>
    </row>
    <row r="115" spans="1:2" x14ac:dyDescent="0.4">
      <c r="A115" s="2" t="s">
        <v>241</v>
      </c>
      <c r="B115" s="2" t="s">
        <v>242</v>
      </c>
    </row>
    <row r="116" spans="1:2" x14ac:dyDescent="0.4">
      <c r="A116" s="2" t="s">
        <v>243</v>
      </c>
      <c r="B116" s="2" t="s">
        <v>244</v>
      </c>
    </row>
    <row r="117" spans="1:2" x14ac:dyDescent="0.4">
      <c r="A117" s="2" t="s">
        <v>245</v>
      </c>
      <c r="B117" s="2" t="s">
        <v>246</v>
      </c>
    </row>
    <row r="118" spans="1:2" x14ac:dyDescent="0.4">
      <c r="A118" s="2" t="s">
        <v>247</v>
      </c>
      <c r="B118" s="2" t="s">
        <v>248</v>
      </c>
    </row>
    <row r="119" spans="1:2" x14ac:dyDescent="0.4">
      <c r="A119" s="2" t="s">
        <v>249</v>
      </c>
      <c r="B119" s="2" t="s">
        <v>250</v>
      </c>
    </row>
    <row r="120" spans="1:2" x14ac:dyDescent="0.4">
      <c r="A120" s="2" t="s">
        <v>251</v>
      </c>
      <c r="B120" s="2" t="s">
        <v>252</v>
      </c>
    </row>
    <row r="121" spans="1:2" x14ac:dyDescent="0.4">
      <c r="A121" s="2" t="s">
        <v>253</v>
      </c>
      <c r="B121" s="2" t="s">
        <v>254</v>
      </c>
    </row>
    <row r="122" spans="1:2" x14ac:dyDescent="0.4">
      <c r="A122" s="2" t="s">
        <v>255</v>
      </c>
      <c r="B122" s="2" t="s">
        <v>256</v>
      </c>
    </row>
    <row r="123" spans="1:2" x14ac:dyDescent="0.4">
      <c r="A123" s="2" t="s">
        <v>257</v>
      </c>
      <c r="B123" s="2" t="s">
        <v>258</v>
      </c>
    </row>
    <row r="124" spans="1:2" x14ac:dyDescent="0.4">
      <c r="A124" s="2" t="s">
        <v>259</v>
      </c>
      <c r="B124" s="2" t="s">
        <v>260</v>
      </c>
    </row>
    <row r="125" spans="1:2" x14ac:dyDescent="0.4">
      <c r="A125" s="2" t="s">
        <v>261</v>
      </c>
      <c r="B125" s="2" t="s">
        <v>262</v>
      </c>
    </row>
    <row r="126" spans="1:2" x14ac:dyDescent="0.4">
      <c r="A126" s="2" t="s">
        <v>263</v>
      </c>
      <c r="B126" s="2" t="s">
        <v>264</v>
      </c>
    </row>
    <row r="127" spans="1:2" x14ac:dyDescent="0.4">
      <c r="A127" s="2" t="s">
        <v>265</v>
      </c>
      <c r="B127" s="2" t="s">
        <v>266</v>
      </c>
    </row>
    <row r="128" spans="1:2" x14ac:dyDescent="0.4">
      <c r="A128" s="2" t="s">
        <v>267</v>
      </c>
      <c r="B128" s="2" t="s">
        <v>268</v>
      </c>
    </row>
    <row r="129" spans="1:2" x14ac:dyDescent="0.4">
      <c r="A129" s="2" t="s">
        <v>269</v>
      </c>
      <c r="B129" s="2" t="s">
        <v>270</v>
      </c>
    </row>
    <row r="130" spans="1:2" x14ac:dyDescent="0.4">
      <c r="A130" s="2" t="s">
        <v>271</v>
      </c>
      <c r="B130" s="2" t="s">
        <v>272</v>
      </c>
    </row>
    <row r="131" spans="1:2" x14ac:dyDescent="0.4">
      <c r="A131" s="2" t="s">
        <v>273</v>
      </c>
      <c r="B131" s="2" t="s">
        <v>274</v>
      </c>
    </row>
    <row r="132" spans="1:2" x14ac:dyDescent="0.4">
      <c r="A132" s="2" t="s">
        <v>275</v>
      </c>
      <c r="B132" s="2" t="s">
        <v>276</v>
      </c>
    </row>
    <row r="133" spans="1:2" x14ac:dyDescent="0.4">
      <c r="A133" s="2" t="s">
        <v>277</v>
      </c>
      <c r="B133" s="2" t="s">
        <v>278</v>
      </c>
    </row>
    <row r="134" spans="1:2" x14ac:dyDescent="0.4">
      <c r="A134" s="2" t="s">
        <v>279</v>
      </c>
      <c r="B134" s="2" t="s">
        <v>280</v>
      </c>
    </row>
    <row r="135" spans="1:2" x14ac:dyDescent="0.4">
      <c r="A135" s="2" t="s">
        <v>281</v>
      </c>
      <c r="B135" s="2" t="s">
        <v>282</v>
      </c>
    </row>
    <row r="136" spans="1:2" x14ac:dyDescent="0.4">
      <c r="A136" s="2" t="s">
        <v>283</v>
      </c>
      <c r="B136" s="2" t="s">
        <v>284</v>
      </c>
    </row>
    <row r="137" spans="1:2" x14ac:dyDescent="0.4">
      <c r="A137" s="2" t="s">
        <v>285</v>
      </c>
      <c r="B137" s="2" t="s">
        <v>286</v>
      </c>
    </row>
    <row r="138" spans="1:2" x14ac:dyDescent="0.4">
      <c r="A138" s="2" t="s">
        <v>287</v>
      </c>
      <c r="B138" s="2" t="s">
        <v>288</v>
      </c>
    </row>
    <row r="139" spans="1:2" x14ac:dyDescent="0.4">
      <c r="A139" s="2" t="s">
        <v>289</v>
      </c>
      <c r="B139" s="2" t="s">
        <v>290</v>
      </c>
    </row>
    <row r="140" spans="1:2" x14ac:dyDescent="0.4">
      <c r="A140" s="2" t="s">
        <v>291</v>
      </c>
      <c r="B140" s="2" t="s">
        <v>292</v>
      </c>
    </row>
    <row r="141" spans="1:2" x14ac:dyDescent="0.4">
      <c r="A141" s="2" t="s">
        <v>293</v>
      </c>
      <c r="B141" s="2" t="s">
        <v>294</v>
      </c>
    </row>
    <row r="142" spans="1:2" x14ac:dyDescent="0.4">
      <c r="A142" s="2" t="s">
        <v>295</v>
      </c>
      <c r="B142" s="2" t="s">
        <v>296</v>
      </c>
    </row>
    <row r="143" spans="1:2" x14ac:dyDescent="0.4">
      <c r="A143" s="2" t="s">
        <v>297</v>
      </c>
      <c r="B143" s="2" t="s">
        <v>298</v>
      </c>
    </row>
    <row r="144" spans="1:2" x14ac:dyDescent="0.4">
      <c r="A144" s="2" t="s">
        <v>299</v>
      </c>
      <c r="B144" s="2" t="s">
        <v>300</v>
      </c>
    </row>
    <row r="145" spans="1:2" x14ac:dyDescent="0.4">
      <c r="A145" s="2" t="s">
        <v>301</v>
      </c>
      <c r="B145" s="2" t="s">
        <v>302</v>
      </c>
    </row>
    <row r="146" spans="1:2" x14ac:dyDescent="0.4">
      <c r="A146" s="2" t="s">
        <v>303</v>
      </c>
      <c r="B146" s="2" t="s">
        <v>304</v>
      </c>
    </row>
    <row r="147" spans="1:2" x14ac:dyDescent="0.4">
      <c r="A147" s="2" t="s">
        <v>305</v>
      </c>
      <c r="B147" s="2" t="s">
        <v>306</v>
      </c>
    </row>
    <row r="148" spans="1:2" x14ac:dyDescent="0.4">
      <c r="A148" s="2" t="s">
        <v>307</v>
      </c>
      <c r="B148" s="2" t="s">
        <v>308</v>
      </c>
    </row>
    <row r="149" spans="1:2" x14ac:dyDescent="0.4">
      <c r="A149" s="2" t="s">
        <v>309</v>
      </c>
      <c r="B149" s="2" t="s">
        <v>310</v>
      </c>
    </row>
    <row r="150" spans="1:2" x14ac:dyDescent="0.4">
      <c r="A150" s="2" t="s">
        <v>311</v>
      </c>
      <c r="B150" s="2" t="s">
        <v>312</v>
      </c>
    </row>
    <row r="151" spans="1:2" x14ac:dyDescent="0.4">
      <c r="A151" s="2" t="s">
        <v>313</v>
      </c>
      <c r="B151" s="2" t="s">
        <v>314</v>
      </c>
    </row>
    <row r="152" spans="1:2" x14ac:dyDescent="0.4">
      <c r="A152" s="2" t="s">
        <v>315</v>
      </c>
      <c r="B152" s="2" t="s">
        <v>316</v>
      </c>
    </row>
    <row r="153" spans="1:2" x14ac:dyDescent="0.4">
      <c r="A153" s="2" t="s">
        <v>317</v>
      </c>
      <c r="B153" s="2" t="s">
        <v>318</v>
      </c>
    </row>
    <row r="154" spans="1:2" x14ac:dyDescent="0.4">
      <c r="A154" s="2" t="s">
        <v>319</v>
      </c>
      <c r="B154" s="2" t="s">
        <v>320</v>
      </c>
    </row>
    <row r="155" spans="1:2" x14ac:dyDescent="0.4">
      <c r="A155" s="2" t="s">
        <v>321</v>
      </c>
      <c r="B155" s="2" t="s">
        <v>322</v>
      </c>
    </row>
    <row r="156" spans="1:2" x14ac:dyDescent="0.4">
      <c r="A156" s="2" t="s">
        <v>323</v>
      </c>
      <c r="B156" s="2" t="s">
        <v>324</v>
      </c>
    </row>
    <row r="157" spans="1:2" x14ac:dyDescent="0.4">
      <c r="A157" s="2" t="s">
        <v>325</v>
      </c>
      <c r="B157" s="2" t="s">
        <v>326</v>
      </c>
    </row>
    <row r="158" spans="1:2" x14ac:dyDescent="0.4">
      <c r="A158" s="2" t="s">
        <v>327</v>
      </c>
      <c r="B158" s="2" t="s">
        <v>328</v>
      </c>
    </row>
    <row r="159" spans="1:2" x14ac:dyDescent="0.4">
      <c r="A159" s="2" t="s">
        <v>329</v>
      </c>
      <c r="B159" s="2" t="s">
        <v>330</v>
      </c>
    </row>
    <row r="160" spans="1:2" x14ac:dyDescent="0.4">
      <c r="A160" s="2" t="s">
        <v>331</v>
      </c>
      <c r="B160" s="2" t="s">
        <v>332</v>
      </c>
    </row>
    <row r="161" spans="1:2" x14ac:dyDescent="0.4">
      <c r="A161" s="2" t="s">
        <v>333</v>
      </c>
      <c r="B161" s="2" t="s">
        <v>334</v>
      </c>
    </row>
    <row r="162" spans="1:2" x14ac:dyDescent="0.4">
      <c r="A162" s="2" t="s">
        <v>335</v>
      </c>
      <c r="B162" s="2" t="s">
        <v>336</v>
      </c>
    </row>
    <row r="163" spans="1:2" x14ac:dyDescent="0.4">
      <c r="A163" s="2" t="s">
        <v>337</v>
      </c>
      <c r="B163" s="2" t="s">
        <v>338</v>
      </c>
    </row>
    <row r="164" spans="1:2" x14ac:dyDescent="0.4">
      <c r="A164" s="2" t="s">
        <v>339</v>
      </c>
      <c r="B164" s="2" t="s">
        <v>340</v>
      </c>
    </row>
    <row r="165" spans="1:2" x14ac:dyDescent="0.4">
      <c r="A165" s="2" t="s">
        <v>341</v>
      </c>
      <c r="B165" s="2" t="s">
        <v>342</v>
      </c>
    </row>
    <row r="166" spans="1:2" x14ac:dyDescent="0.4">
      <c r="A166" s="2" t="s">
        <v>343</v>
      </c>
      <c r="B166" s="2" t="s">
        <v>344</v>
      </c>
    </row>
    <row r="167" spans="1:2" x14ac:dyDescent="0.4">
      <c r="A167" s="2" t="s">
        <v>345</v>
      </c>
      <c r="B167" s="2" t="s">
        <v>346</v>
      </c>
    </row>
    <row r="168" spans="1:2" x14ac:dyDescent="0.4">
      <c r="A168" s="2" t="s">
        <v>347</v>
      </c>
      <c r="B168" s="2" t="s">
        <v>348</v>
      </c>
    </row>
    <row r="169" spans="1:2" x14ac:dyDescent="0.4">
      <c r="A169" s="2" t="s">
        <v>349</v>
      </c>
      <c r="B169" s="2" t="s">
        <v>350</v>
      </c>
    </row>
    <row r="170" spans="1:2" x14ac:dyDescent="0.4">
      <c r="A170" s="2" t="s">
        <v>351</v>
      </c>
      <c r="B170" s="2" t="s">
        <v>352</v>
      </c>
    </row>
    <row r="171" spans="1:2" x14ac:dyDescent="0.4">
      <c r="A171" s="2" t="s">
        <v>353</v>
      </c>
      <c r="B171" s="2" t="s">
        <v>354</v>
      </c>
    </row>
    <row r="172" spans="1:2" x14ac:dyDescent="0.4">
      <c r="A172" s="2" t="s">
        <v>355</v>
      </c>
      <c r="B172" s="2" t="s">
        <v>356</v>
      </c>
    </row>
    <row r="173" spans="1:2" x14ac:dyDescent="0.4">
      <c r="A173" s="2" t="s">
        <v>357</v>
      </c>
      <c r="B173" s="2" t="s">
        <v>358</v>
      </c>
    </row>
    <row r="174" spans="1:2" x14ac:dyDescent="0.4">
      <c r="A174" s="2" t="s">
        <v>359</v>
      </c>
      <c r="B174" s="2" t="s">
        <v>360</v>
      </c>
    </row>
    <row r="175" spans="1:2" x14ac:dyDescent="0.4">
      <c r="A175" s="2" t="s">
        <v>361</v>
      </c>
      <c r="B175" s="2" t="s">
        <v>362</v>
      </c>
    </row>
    <row r="176" spans="1:2" x14ac:dyDescent="0.4">
      <c r="A176" s="2" t="s">
        <v>363</v>
      </c>
      <c r="B176" s="2" t="s">
        <v>364</v>
      </c>
    </row>
    <row r="177" spans="1:2" x14ac:dyDescent="0.4">
      <c r="A177" s="2" t="s">
        <v>365</v>
      </c>
      <c r="B177" s="2" t="s">
        <v>366</v>
      </c>
    </row>
    <row r="178" spans="1:2" x14ac:dyDescent="0.4">
      <c r="A178" s="2" t="s">
        <v>367</v>
      </c>
      <c r="B178" s="2" t="s">
        <v>368</v>
      </c>
    </row>
    <row r="179" spans="1:2" x14ac:dyDescent="0.4">
      <c r="A179" s="2" t="s">
        <v>369</v>
      </c>
      <c r="B179" s="2" t="s">
        <v>370</v>
      </c>
    </row>
    <row r="180" spans="1:2" x14ac:dyDescent="0.4">
      <c r="A180" s="2" t="s">
        <v>371</v>
      </c>
      <c r="B180" s="2" t="s">
        <v>372</v>
      </c>
    </row>
    <row r="181" spans="1:2" x14ac:dyDescent="0.4">
      <c r="A181" s="2" t="s">
        <v>373</v>
      </c>
      <c r="B181" s="2" t="s">
        <v>374</v>
      </c>
    </row>
    <row r="182" spans="1:2" x14ac:dyDescent="0.4">
      <c r="A182" s="2" t="s">
        <v>375</v>
      </c>
      <c r="B182" s="2" t="s">
        <v>376</v>
      </c>
    </row>
    <row r="183" spans="1:2" x14ac:dyDescent="0.4">
      <c r="A183" s="2" t="s">
        <v>377</v>
      </c>
      <c r="B183" s="2" t="s">
        <v>378</v>
      </c>
    </row>
    <row r="184" spans="1:2" x14ac:dyDescent="0.4">
      <c r="A184" s="2" t="s">
        <v>379</v>
      </c>
      <c r="B184" s="2" t="s">
        <v>380</v>
      </c>
    </row>
    <row r="185" spans="1:2" x14ac:dyDescent="0.4">
      <c r="A185" s="2" t="s">
        <v>381</v>
      </c>
      <c r="B185" s="2" t="s">
        <v>382</v>
      </c>
    </row>
    <row r="186" spans="1:2" x14ac:dyDescent="0.4">
      <c r="A186" s="2" t="s">
        <v>383</v>
      </c>
      <c r="B186" s="2" t="s">
        <v>384</v>
      </c>
    </row>
    <row r="187" spans="1:2" x14ac:dyDescent="0.4">
      <c r="A187" s="2" t="s">
        <v>385</v>
      </c>
      <c r="B187" s="2" t="s">
        <v>386</v>
      </c>
    </row>
    <row r="188" spans="1:2" x14ac:dyDescent="0.4">
      <c r="A188" s="2" t="s">
        <v>387</v>
      </c>
      <c r="B188" s="2" t="s">
        <v>388</v>
      </c>
    </row>
    <row r="189" spans="1:2" x14ac:dyDescent="0.4">
      <c r="A189" s="2" t="s">
        <v>389</v>
      </c>
      <c r="B189" s="2" t="s">
        <v>390</v>
      </c>
    </row>
    <row r="190" spans="1:2" x14ac:dyDescent="0.4">
      <c r="A190" s="2" t="s">
        <v>391</v>
      </c>
      <c r="B190" s="2" t="s">
        <v>392</v>
      </c>
    </row>
    <row r="191" spans="1:2" x14ac:dyDescent="0.4">
      <c r="A191" s="2" t="s">
        <v>393</v>
      </c>
      <c r="B191" s="2" t="s">
        <v>394</v>
      </c>
    </row>
    <row r="192" spans="1:2" x14ac:dyDescent="0.4">
      <c r="A192" s="2" t="s">
        <v>395</v>
      </c>
      <c r="B192" s="2" t="s">
        <v>396</v>
      </c>
    </row>
    <row r="193" spans="1:2" x14ac:dyDescent="0.4">
      <c r="A193" s="2" t="s">
        <v>397</v>
      </c>
      <c r="B193" s="2" t="s">
        <v>398</v>
      </c>
    </row>
    <row r="194" spans="1:2" x14ac:dyDescent="0.4">
      <c r="A194" s="2" t="s">
        <v>399</v>
      </c>
      <c r="B194" s="2" t="s">
        <v>400</v>
      </c>
    </row>
    <row r="195" spans="1:2" x14ac:dyDescent="0.4">
      <c r="A195" s="2" t="s">
        <v>401</v>
      </c>
      <c r="B195" s="2" t="s">
        <v>402</v>
      </c>
    </row>
    <row r="196" spans="1:2" x14ac:dyDescent="0.4">
      <c r="A196" s="2" t="s">
        <v>403</v>
      </c>
      <c r="B196" s="2" t="s">
        <v>404</v>
      </c>
    </row>
    <row r="197" spans="1:2" x14ac:dyDescent="0.4">
      <c r="A197" s="2" t="s">
        <v>405</v>
      </c>
      <c r="B197" s="2" t="s">
        <v>406</v>
      </c>
    </row>
    <row r="198" spans="1:2" x14ac:dyDescent="0.4">
      <c r="A198" s="2" t="s">
        <v>407</v>
      </c>
      <c r="B198" s="2" t="s">
        <v>408</v>
      </c>
    </row>
    <row r="199" spans="1:2" x14ac:dyDescent="0.4">
      <c r="A199" s="2" t="s">
        <v>409</v>
      </c>
      <c r="B199" s="2" t="s">
        <v>410</v>
      </c>
    </row>
    <row r="200" spans="1:2" x14ac:dyDescent="0.4">
      <c r="A200" s="2" t="s">
        <v>411</v>
      </c>
      <c r="B200" s="2" t="s">
        <v>412</v>
      </c>
    </row>
    <row r="201" spans="1:2" x14ac:dyDescent="0.4">
      <c r="A201" s="2" t="s">
        <v>413</v>
      </c>
      <c r="B201" s="2" t="s">
        <v>414</v>
      </c>
    </row>
    <row r="202" spans="1:2" x14ac:dyDescent="0.4">
      <c r="A202" s="2" t="s">
        <v>415</v>
      </c>
      <c r="B202" s="2" t="s">
        <v>416</v>
      </c>
    </row>
    <row r="203" spans="1:2" x14ac:dyDescent="0.4">
      <c r="A203" s="2" t="s">
        <v>417</v>
      </c>
      <c r="B203" s="2" t="s">
        <v>418</v>
      </c>
    </row>
    <row r="204" spans="1:2" x14ac:dyDescent="0.4">
      <c r="A204" s="2" t="s">
        <v>419</v>
      </c>
      <c r="B204" s="2" t="s">
        <v>420</v>
      </c>
    </row>
    <row r="205" spans="1:2" x14ac:dyDescent="0.4">
      <c r="A205" s="2" t="s">
        <v>421</v>
      </c>
      <c r="B205" s="2" t="s">
        <v>422</v>
      </c>
    </row>
    <row r="206" spans="1:2" x14ac:dyDescent="0.4">
      <c r="A206" s="2" t="s">
        <v>423</v>
      </c>
      <c r="B206" s="2" t="s">
        <v>424</v>
      </c>
    </row>
    <row r="207" spans="1:2" x14ac:dyDescent="0.4">
      <c r="A207" s="2" t="s">
        <v>425</v>
      </c>
      <c r="B207" s="2" t="s">
        <v>426</v>
      </c>
    </row>
    <row r="208" spans="1:2" x14ac:dyDescent="0.4">
      <c r="A208" s="2" t="s">
        <v>427</v>
      </c>
      <c r="B208" s="2" t="s">
        <v>428</v>
      </c>
    </row>
    <row r="209" spans="1:2" x14ac:dyDescent="0.4">
      <c r="A209" s="2" t="s">
        <v>429</v>
      </c>
      <c r="B209" s="2" t="s">
        <v>430</v>
      </c>
    </row>
    <row r="210" spans="1:2" x14ac:dyDescent="0.4">
      <c r="A210" s="2" t="s">
        <v>431</v>
      </c>
      <c r="B210" s="2" t="s">
        <v>432</v>
      </c>
    </row>
    <row r="211" spans="1:2" x14ac:dyDescent="0.4">
      <c r="A211" s="2" t="s">
        <v>433</v>
      </c>
      <c r="B211" s="2" t="s">
        <v>434</v>
      </c>
    </row>
    <row r="212" spans="1:2" x14ac:dyDescent="0.4">
      <c r="A212" s="2" t="s">
        <v>435</v>
      </c>
      <c r="B212" s="2" t="s">
        <v>436</v>
      </c>
    </row>
    <row r="213" spans="1:2" x14ac:dyDescent="0.4">
      <c r="A213" s="2" t="s">
        <v>437</v>
      </c>
      <c r="B213" s="2" t="s">
        <v>438</v>
      </c>
    </row>
    <row r="214" spans="1:2" x14ac:dyDescent="0.4">
      <c r="A214" s="2" t="s">
        <v>439</v>
      </c>
      <c r="B214" s="2" t="s">
        <v>440</v>
      </c>
    </row>
    <row r="215" spans="1:2" x14ac:dyDescent="0.4">
      <c r="A215" s="2" t="s">
        <v>441</v>
      </c>
      <c r="B215" s="2" t="s">
        <v>442</v>
      </c>
    </row>
    <row r="216" spans="1:2" x14ac:dyDescent="0.4">
      <c r="A216" s="2" t="s">
        <v>443</v>
      </c>
      <c r="B216" s="2" t="s">
        <v>444</v>
      </c>
    </row>
    <row r="217" spans="1:2" x14ac:dyDescent="0.4">
      <c r="A217" s="2" t="s">
        <v>445</v>
      </c>
      <c r="B217" s="2" t="s">
        <v>446</v>
      </c>
    </row>
    <row r="218" spans="1:2" x14ac:dyDescent="0.4">
      <c r="A218" s="2" t="s">
        <v>447</v>
      </c>
      <c r="B218" s="2" t="s">
        <v>448</v>
      </c>
    </row>
    <row r="219" spans="1:2" x14ac:dyDescent="0.4">
      <c r="A219" s="2" t="s">
        <v>449</v>
      </c>
      <c r="B219" s="2" t="s">
        <v>450</v>
      </c>
    </row>
    <row r="220" spans="1:2" x14ac:dyDescent="0.4">
      <c r="A220" s="2" t="s">
        <v>451</v>
      </c>
      <c r="B220" s="2" t="s">
        <v>452</v>
      </c>
    </row>
    <row r="221" spans="1:2" x14ac:dyDescent="0.4">
      <c r="A221" s="2" t="s">
        <v>453</v>
      </c>
      <c r="B221" s="2" t="s">
        <v>454</v>
      </c>
    </row>
    <row r="222" spans="1:2" x14ac:dyDescent="0.4">
      <c r="A222" s="2" t="s">
        <v>455</v>
      </c>
      <c r="B222" s="2" t="s">
        <v>456</v>
      </c>
    </row>
    <row r="223" spans="1:2" x14ac:dyDescent="0.4">
      <c r="A223" s="2" t="s">
        <v>457</v>
      </c>
      <c r="B223" s="2" t="s">
        <v>458</v>
      </c>
    </row>
    <row r="224" spans="1:2" x14ac:dyDescent="0.4">
      <c r="A224" s="2" t="s">
        <v>459</v>
      </c>
      <c r="B224" s="2" t="s">
        <v>460</v>
      </c>
    </row>
    <row r="225" spans="1:2" x14ac:dyDescent="0.4">
      <c r="A225" s="2" t="s">
        <v>461</v>
      </c>
      <c r="B225" s="2" t="s">
        <v>462</v>
      </c>
    </row>
    <row r="226" spans="1:2" x14ac:dyDescent="0.4">
      <c r="A226" s="2" t="s">
        <v>463</v>
      </c>
      <c r="B226" s="2" t="s">
        <v>464</v>
      </c>
    </row>
    <row r="227" spans="1:2" x14ac:dyDescent="0.4">
      <c r="A227" s="2" t="s">
        <v>465</v>
      </c>
      <c r="B227" s="2" t="s">
        <v>466</v>
      </c>
    </row>
    <row r="228" spans="1:2" x14ac:dyDescent="0.4">
      <c r="A228" s="2" t="s">
        <v>467</v>
      </c>
      <c r="B228" s="2" t="s">
        <v>468</v>
      </c>
    </row>
    <row r="229" spans="1:2" x14ac:dyDescent="0.4">
      <c r="A229" s="2" t="s">
        <v>469</v>
      </c>
      <c r="B229" s="2" t="s">
        <v>470</v>
      </c>
    </row>
    <row r="230" spans="1:2" x14ac:dyDescent="0.4">
      <c r="A230" s="2" t="s">
        <v>471</v>
      </c>
      <c r="B230" s="2" t="s">
        <v>472</v>
      </c>
    </row>
    <row r="231" spans="1:2" x14ac:dyDescent="0.4">
      <c r="A231" s="2" t="s">
        <v>11</v>
      </c>
      <c r="B231" s="2" t="s">
        <v>473</v>
      </c>
    </row>
    <row r="232" spans="1:2" x14ac:dyDescent="0.4">
      <c r="A232" s="2" t="s">
        <v>474</v>
      </c>
      <c r="B232" s="2" t="s">
        <v>475</v>
      </c>
    </row>
    <row r="233" spans="1:2" x14ac:dyDescent="0.4">
      <c r="A233" s="2" t="s">
        <v>476</v>
      </c>
      <c r="B233" s="2" t="s">
        <v>477</v>
      </c>
    </row>
    <row r="234" spans="1:2" x14ac:dyDescent="0.4">
      <c r="A234" s="2" t="s">
        <v>478</v>
      </c>
      <c r="B234" s="2" t="s">
        <v>479</v>
      </c>
    </row>
    <row r="235" spans="1:2" x14ac:dyDescent="0.4">
      <c r="A235" s="2" t="s">
        <v>480</v>
      </c>
      <c r="B235" s="2" t="s">
        <v>481</v>
      </c>
    </row>
    <row r="236" spans="1:2" x14ac:dyDescent="0.4">
      <c r="A236" s="2" t="s">
        <v>482</v>
      </c>
      <c r="B236" s="2" t="s">
        <v>483</v>
      </c>
    </row>
    <row r="237" spans="1:2" x14ac:dyDescent="0.4">
      <c r="A237" s="2" t="s">
        <v>484</v>
      </c>
      <c r="B237" s="2" t="s">
        <v>485</v>
      </c>
    </row>
    <row r="238" spans="1:2" x14ac:dyDescent="0.4">
      <c r="A238" s="2" t="s">
        <v>486</v>
      </c>
      <c r="B238" s="2" t="s">
        <v>487</v>
      </c>
    </row>
    <row r="239" spans="1:2" x14ac:dyDescent="0.4">
      <c r="A239" s="2" t="s">
        <v>488</v>
      </c>
      <c r="B239" s="2" t="s">
        <v>489</v>
      </c>
    </row>
    <row r="240" spans="1:2" x14ac:dyDescent="0.4">
      <c r="A240" s="2" t="s">
        <v>490</v>
      </c>
      <c r="B240" s="2" t="s">
        <v>491</v>
      </c>
    </row>
    <row r="241" spans="1:2" x14ac:dyDescent="0.4">
      <c r="A241" s="2" t="s">
        <v>492</v>
      </c>
      <c r="B241" s="2" t="s">
        <v>493</v>
      </c>
    </row>
    <row r="242" spans="1:2" x14ac:dyDescent="0.4">
      <c r="A242" s="2" t="s">
        <v>494</v>
      </c>
      <c r="B242" s="2" t="s">
        <v>495</v>
      </c>
    </row>
    <row r="243" spans="1:2" x14ac:dyDescent="0.4">
      <c r="A243" s="2" t="s">
        <v>496</v>
      </c>
      <c r="B243" s="2" t="s">
        <v>497</v>
      </c>
    </row>
    <row r="244" spans="1:2" x14ac:dyDescent="0.4">
      <c r="A244" s="2" t="s">
        <v>498</v>
      </c>
      <c r="B244" s="2" t="s">
        <v>499</v>
      </c>
    </row>
    <row r="245" spans="1:2" x14ac:dyDescent="0.4">
      <c r="A245" s="2" t="s">
        <v>500</v>
      </c>
      <c r="B245" s="2" t="s">
        <v>501</v>
      </c>
    </row>
    <row r="246" spans="1:2" x14ac:dyDescent="0.4">
      <c r="A246" s="2" t="s">
        <v>502</v>
      </c>
      <c r="B246" s="2" t="s">
        <v>503</v>
      </c>
    </row>
    <row r="247" spans="1:2" x14ac:dyDescent="0.4">
      <c r="A247" s="2" t="s">
        <v>504</v>
      </c>
      <c r="B247" s="2" t="s">
        <v>505</v>
      </c>
    </row>
    <row r="248" spans="1:2" x14ac:dyDescent="0.4">
      <c r="A248" s="2" t="s">
        <v>506</v>
      </c>
      <c r="B248" s="2" t="s">
        <v>507</v>
      </c>
    </row>
    <row r="249" spans="1:2" x14ac:dyDescent="0.4">
      <c r="A249" s="2" t="s">
        <v>508</v>
      </c>
      <c r="B249" s="2" t="s">
        <v>509</v>
      </c>
    </row>
    <row r="250" spans="1:2" x14ac:dyDescent="0.4">
      <c r="A250" s="2" t="s">
        <v>510</v>
      </c>
      <c r="B250" s="2" t="s">
        <v>511</v>
      </c>
    </row>
    <row r="251" spans="1:2" x14ac:dyDescent="0.4">
      <c r="A251" s="2" t="s">
        <v>512</v>
      </c>
      <c r="B251" s="2" t="s">
        <v>513</v>
      </c>
    </row>
    <row r="252" spans="1:2" x14ac:dyDescent="0.4">
      <c r="A252" s="2" t="s">
        <v>514</v>
      </c>
      <c r="B252" s="2" t="s">
        <v>515</v>
      </c>
    </row>
    <row r="253" spans="1:2" x14ac:dyDescent="0.4">
      <c r="A253" s="2" t="s">
        <v>516</v>
      </c>
      <c r="B253" s="2" t="s">
        <v>517</v>
      </c>
    </row>
    <row r="254" spans="1:2" x14ac:dyDescent="0.4">
      <c r="A254" s="2" t="s">
        <v>518</v>
      </c>
      <c r="B254" s="2" t="s">
        <v>519</v>
      </c>
    </row>
    <row r="255" spans="1:2" x14ac:dyDescent="0.4">
      <c r="A255" s="2" t="s">
        <v>520</v>
      </c>
      <c r="B255" s="2" t="s">
        <v>521</v>
      </c>
    </row>
    <row r="256" spans="1:2" x14ac:dyDescent="0.4">
      <c r="A256" s="2" t="s">
        <v>522</v>
      </c>
      <c r="B256" s="2" t="s">
        <v>523</v>
      </c>
    </row>
    <row r="257" spans="1:2" x14ac:dyDescent="0.4">
      <c r="A257" s="2" t="s">
        <v>524</v>
      </c>
      <c r="B257" s="2" t="s">
        <v>525</v>
      </c>
    </row>
    <row r="258" spans="1:2" x14ac:dyDescent="0.4">
      <c r="A258" s="2" t="s">
        <v>526</v>
      </c>
      <c r="B258" s="2" t="s">
        <v>527</v>
      </c>
    </row>
    <row r="259" spans="1:2" x14ac:dyDescent="0.4">
      <c r="A259" s="2" t="s">
        <v>528</v>
      </c>
      <c r="B259" s="2" t="s">
        <v>529</v>
      </c>
    </row>
    <row r="260" spans="1:2" x14ac:dyDescent="0.4">
      <c r="A260" s="2" t="s">
        <v>530</v>
      </c>
      <c r="B260" s="2" t="s">
        <v>531</v>
      </c>
    </row>
    <row r="261" spans="1:2" x14ac:dyDescent="0.4">
      <c r="A261" s="2" t="s">
        <v>532</v>
      </c>
      <c r="B261" s="2" t="s">
        <v>533</v>
      </c>
    </row>
    <row r="262" spans="1:2" x14ac:dyDescent="0.4">
      <c r="A262" s="2" t="s">
        <v>534</v>
      </c>
      <c r="B262" s="2" t="s">
        <v>535</v>
      </c>
    </row>
    <row r="263" spans="1:2" x14ac:dyDescent="0.4">
      <c r="A263" s="2" t="s">
        <v>536</v>
      </c>
      <c r="B263" s="2" t="s">
        <v>537</v>
      </c>
    </row>
    <row r="264" spans="1:2" x14ac:dyDescent="0.4">
      <c r="A264" s="2" t="s">
        <v>538</v>
      </c>
      <c r="B264" s="2" t="s">
        <v>539</v>
      </c>
    </row>
    <row r="265" spans="1:2" x14ac:dyDescent="0.4">
      <c r="A265" s="2" t="s">
        <v>540</v>
      </c>
      <c r="B265" s="2" t="s">
        <v>541</v>
      </c>
    </row>
    <row r="266" spans="1:2" x14ac:dyDescent="0.4">
      <c r="A266" s="2" t="s">
        <v>542</v>
      </c>
      <c r="B266" s="2" t="s">
        <v>543</v>
      </c>
    </row>
    <row r="267" spans="1:2" x14ac:dyDescent="0.4">
      <c r="A267" s="2" t="s">
        <v>544</v>
      </c>
      <c r="B267" s="2" t="s">
        <v>545</v>
      </c>
    </row>
    <row r="268" spans="1:2" x14ac:dyDescent="0.4">
      <c r="A268" s="2" t="s">
        <v>546</v>
      </c>
      <c r="B268" s="2" t="s">
        <v>547</v>
      </c>
    </row>
    <row r="269" spans="1:2" x14ac:dyDescent="0.4">
      <c r="A269" s="2" t="s">
        <v>548</v>
      </c>
      <c r="B269" s="2" t="s">
        <v>549</v>
      </c>
    </row>
    <row r="270" spans="1:2" x14ac:dyDescent="0.4">
      <c r="A270" s="2" t="s">
        <v>550</v>
      </c>
      <c r="B270" s="2" t="s">
        <v>551</v>
      </c>
    </row>
    <row r="271" spans="1:2" x14ac:dyDescent="0.4">
      <c r="A271" s="2" t="s">
        <v>552</v>
      </c>
      <c r="B271" s="2" t="s">
        <v>553</v>
      </c>
    </row>
    <row r="272" spans="1:2" x14ac:dyDescent="0.4">
      <c r="A272" s="2" t="s">
        <v>554</v>
      </c>
      <c r="B272" s="2" t="s">
        <v>555</v>
      </c>
    </row>
    <row r="273" spans="1:2" x14ac:dyDescent="0.4">
      <c r="A273" s="2" t="s">
        <v>556</v>
      </c>
      <c r="B273" s="2" t="s">
        <v>557</v>
      </c>
    </row>
    <row r="274" spans="1:2" x14ac:dyDescent="0.4">
      <c r="A274" s="2" t="s">
        <v>558</v>
      </c>
      <c r="B274" s="2" t="s">
        <v>559</v>
      </c>
    </row>
    <row r="275" spans="1:2" x14ac:dyDescent="0.4">
      <c r="A275" s="2" t="s">
        <v>560</v>
      </c>
      <c r="B275" s="2" t="s">
        <v>561</v>
      </c>
    </row>
    <row r="276" spans="1:2" x14ac:dyDescent="0.4">
      <c r="A276" s="2" t="s">
        <v>562</v>
      </c>
      <c r="B276" s="2" t="s">
        <v>563</v>
      </c>
    </row>
    <row r="277" spans="1:2" x14ac:dyDescent="0.4">
      <c r="A277" s="2" t="s">
        <v>564</v>
      </c>
      <c r="B277" s="2" t="s">
        <v>565</v>
      </c>
    </row>
    <row r="278" spans="1:2" x14ac:dyDescent="0.4">
      <c r="A278" s="2" t="s">
        <v>566</v>
      </c>
      <c r="B278" s="2" t="s">
        <v>567</v>
      </c>
    </row>
    <row r="279" spans="1:2" x14ac:dyDescent="0.4">
      <c r="A279" s="2" t="s">
        <v>568</v>
      </c>
      <c r="B279" s="2" t="s">
        <v>569</v>
      </c>
    </row>
    <row r="280" spans="1:2" x14ac:dyDescent="0.4">
      <c r="A280" s="2" t="s">
        <v>570</v>
      </c>
      <c r="B280" s="2" t="s">
        <v>571</v>
      </c>
    </row>
    <row r="281" spans="1:2" x14ac:dyDescent="0.4">
      <c r="A281" s="2" t="s">
        <v>572</v>
      </c>
      <c r="B281" s="2" t="s">
        <v>573</v>
      </c>
    </row>
    <row r="282" spans="1:2" x14ac:dyDescent="0.4">
      <c r="A282" s="2" t="s">
        <v>574</v>
      </c>
      <c r="B282" s="2" t="s">
        <v>575</v>
      </c>
    </row>
    <row r="283" spans="1:2" x14ac:dyDescent="0.4">
      <c r="A283" s="2" t="s">
        <v>576</v>
      </c>
      <c r="B283" s="2" t="s">
        <v>577</v>
      </c>
    </row>
    <row r="284" spans="1:2" x14ac:dyDescent="0.4">
      <c r="A284" s="2" t="s">
        <v>578</v>
      </c>
      <c r="B284" s="2" t="s">
        <v>579</v>
      </c>
    </row>
    <row r="285" spans="1:2" x14ac:dyDescent="0.4">
      <c r="A285" s="2" t="s">
        <v>580</v>
      </c>
      <c r="B285" s="2" t="s">
        <v>581</v>
      </c>
    </row>
    <row r="286" spans="1:2" x14ac:dyDescent="0.4">
      <c r="A286" s="2" t="s">
        <v>582</v>
      </c>
      <c r="B286" s="2" t="s">
        <v>583</v>
      </c>
    </row>
    <row r="287" spans="1:2" x14ac:dyDescent="0.4">
      <c r="A287" s="2" t="s">
        <v>584</v>
      </c>
      <c r="B287" s="2" t="s">
        <v>585</v>
      </c>
    </row>
    <row r="288" spans="1:2" x14ac:dyDescent="0.4">
      <c r="A288" s="2" t="s">
        <v>586</v>
      </c>
      <c r="B288" s="2" t="s">
        <v>587</v>
      </c>
    </row>
    <row r="289" spans="1:2" x14ac:dyDescent="0.4">
      <c r="A289" s="2" t="s">
        <v>588</v>
      </c>
      <c r="B289" s="2" t="s">
        <v>589</v>
      </c>
    </row>
    <row r="290" spans="1:2" x14ac:dyDescent="0.4">
      <c r="A290" s="2" t="s">
        <v>590</v>
      </c>
      <c r="B290" s="2" t="s">
        <v>591</v>
      </c>
    </row>
    <row r="291" spans="1:2" x14ac:dyDescent="0.4">
      <c r="A291" s="2" t="s">
        <v>592</v>
      </c>
      <c r="B291" s="2" t="s">
        <v>593</v>
      </c>
    </row>
    <row r="292" spans="1:2" x14ac:dyDescent="0.4">
      <c r="A292" s="2" t="s">
        <v>594</v>
      </c>
      <c r="B292" s="2" t="s">
        <v>595</v>
      </c>
    </row>
    <row r="293" spans="1:2" x14ac:dyDescent="0.4">
      <c r="A293" s="2" t="s">
        <v>596</v>
      </c>
      <c r="B293" s="2" t="s">
        <v>597</v>
      </c>
    </row>
    <row r="294" spans="1:2" x14ac:dyDescent="0.4">
      <c r="A294" s="2" t="s">
        <v>598</v>
      </c>
      <c r="B294" s="2" t="s">
        <v>599</v>
      </c>
    </row>
    <row r="295" spans="1:2" x14ac:dyDescent="0.4">
      <c r="A295" s="2" t="s">
        <v>600</v>
      </c>
      <c r="B295" s="2" t="s">
        <v>601</v>
      </c>
    </row>
    <row r="296" spans="1:2" x14ac:dyDescent="0.4">
      <c r="A296" s="2" t="s">
        <v>602</v>
      </c>
      <c r="B296" s="2" t="s">
        <v>603</v>
      </c>
    </row>
    <row r="297" spans="1:2" x14ac:dyDescent="0.4">
      <c r="A297" s="2" t="s">
        <v>604</v>
      </c>
      <c r="B297" s="2" t="s">
        <v>605</v>
      </c>
    </row>
    <row r="298" spans="1:2" x14ac:dyDescent="0.4">
      <c r="A298" s="2" t="s">
        <v>606</v>
      </c>
      <c r="B298" s="2" t="s">
        <v>607</v>
      </c>
    </row>
    <row r="299" spans="1:2" x14ac:dyDescent="0.4">
      <c r="A299" s="2" t="s">
        <v>608</v>
      </c>
      <c r="B299" s="2" t="s">
        <v>609</v>
      </c>
    </row>
    <row r="300" spans="1:2" x14ac:dyDescent="0.4">
      <c r="A300" s="2" t="s">
        <v>610</v>
      </c>
      <c r="B300" s="2" t="s">
        <v>611</v>
      </c>
    </row>
    <row r="301" spans="1:2" x14ac:dyDescent="0.4">
      <c r="A301" s="2" t="s">
        <v>612</v>
      </c>
      <c r="B301" s="2" t="s">
        <v>613</v>
      </c>
    </row>
    <row r="302" spans="1:2" x14ac:dyDescent="0.4">
      <c r="A302" s="2" t="s">
        <v>614</v>
      </c>
      <c r="B302" s="2" t="s">
        <v>615</v>
      </c>
    </row>
    <row r="303" spans="1:2" x14ac:dyDescent="0.4">
      <c r="A303" s="2" t="s">
        <v>10</v>
      </c>
      <c r="B303" s="2" t="s">
        <v>616</v>
      </c>
    </row>
    <row r="304" spans="1:2" x14ac:dyDescent="0.4">
      <c r="A304" s="2" t="s">
        <v>617</v>
      </c>
      <c r="B304" s="2" t="s">
        <v>618</v>
      </c>
    </row>
    <row r="305" spans="1:2" x14ac:dyDescent="0.4">
      <c r="A305" s="2" t="s">
        <v>619</v>
      </c>
      <c r="B305" s="2" t="s">
        <v>620</v>
      </c>
    </row>
    <row r="306" spans="1:2" x14ac:dyDescent="0.4">
      <c r="A306" s="2" t="s">
        <v>621</v>
      </c>
      <c r="B306" s="2" t="s">
        <v>622</v>
      </c>
    </row>
    <row r="307" spans="1:2" x14ac:dyDescent="0.4">
      <c r="A307" s="2" t="s">
        <v>623</v>
      </c>
      <c r="B307" s="2" t="s">
        <v>624</v>
      </c>
    </row>
    <row r="308" spans="1:2" x14ac:dyDescent="0.4">
      <c r="A308" s="2" t="s">
        <v>625</v>
      </c>
      <c r="B308" s="2" t="s">
        <v>626</v>
      </c>
    </row>
    <row r="309" spans="1:2" x14ac:dyDescent="0.4">
      <c r="A309" s="2" t="s">
        <v>627</v>
      </c>
      <c r="B309" s="2" t="s">
        <v>628</v>
      </c>
    </row>
    <row r="310" spans="1:2" x14ac:dyDescent="0.4">
      <c r="A310" s="2" t="s">
        <v>629</v>
      </c>
      <c r="B310" s="2" t="s">
        <v>630</v>
      </c>
    </row>
    <row r="311" spans="1:2" x14ac:dyDescent="0.4">
      <c r="A311" s="2" t="s">
        <v>631</v>
      </c>
      <c r="B311" s="2" t="s">
        <v>632</v>
      </c>
    </row>
    <row r="312" spans="1:2" x14ac:dyDescent="0.4">
      <c r="A312" s="2" t="s">
        <v>633</v>
      </c>
      <c r="B312" s="2" t="s">
        <v>634</v>
      </c>
    </row>
    <row r="313" spans="1:2" x14ac:dyDescent="0.4">
      <c r="A313" s="2" t="s">
        <v>635</v>
      </c>
      <c r="B313" s="2" t="s">
        <v>636</v>
      </c>
    </row>
    <row r="314" spans="1:2" x14ac:dyDescent="0.4">
      <c r="A314" s="2" t="s">
        <v>637</v>
      </c>
      <c r="B314" s="2" t="s">
        <v>638</v>
      </c>
    </row>
    <row r="315" spans="1:2" x14ac:dyDescent="0.4">
      <c r="A315" s="2" t="s">
        <v>639</v>
      </c>
      <c r="B315" s="2" t="s">
        <v>640</v>
      </c>
    </row>
    <row r="316" spans="1:2" x14ac:dyDescent="0.4">
      <c r="A316" s="2" t="s">
        <v>641</v>
      </c>
      <c r="B316" s="2" t="s">
        <v>642</v>
      </c>
    </row>
    <row r="317" spans="1:2" x14ac:dyDescent="0.4">
      <c r="A317" s="2" t="s">
        <v>643</v>
      </c>
      <c r="B317" s="2" t="s">
        <v>644</v>
      </c>
    </row>
    <row r="318" spans="1:2" x14ac:dyDescent="0.4">
      <c r="A318" s="2" t="s">
        <v>645</v>
      </c>
      <c r="B318" s="2" t="s">
        <v>646</v>
      </c>
    </row>
    <row r="319" spans="1:2" x14ac:dyDescent="0.4">
      <c r="A319" s="2" t="s">
        <v>647</v>
      </c>
      <c r="B319" s="2" t="s">
        <v>648</v>
      </c>
    </row>
    <row r="320" spans="1:2" x14ac:dyDescent="0.4">
      <c r="A320" s="2" t="s">
        <v>649</v>
      </c>
      <c r="B320" s="2" t="s">
        <v>650</v>
      </c>
    </row>
    <row r="321" spans="1:2" x14ac:dyDescent="0.4">
      <c r="A321" s="2" t="s">
        <v>651</v>
      </c>
      <c r="B321" s="2" t="s">
        <v>652</v>
      </c>
    </row>
    <row r="322" spans="1:2" x14ac:dyDescent="0.4">
      <c r="A322" s="2" t="s">
        <v>653</v>
      </c>
      <c r="B322" s="2" t="s">
        <v>654</v>
      </c>
    </row>
    <row r="323" spans="1:2" x14ac:dyDescent="0.4">
      <c r="A323" s="2" t="s">
        <v>655</v>
      </c>
      <c r="B323" s="2" t="s">
        <v>656</v>
      </c>
    </row>
    <row r="324" spans="1:2" x14ac:dyDescent="0.4">
      <c r="A324" s="2" t="s">
        <v>657</v>
      </c>
      <c r="B324" s="2" t="s">
        <v>658</v>
      </c>
    </row>
    <row r="325" spans="1:2" x14ac:dyDescent="0.4">
      <c r="A325" s="2" t="s">
        <v>659</v>
      </c>
      <c r="B325" s="2" t="s">
        <v>660</v>
      </c>
    </row>
    <row r="326" spans="1:2" x14ac:dyDescent="0.4">
      <c r="A326" s="2" t="s">
        <v>661</v>
      </c>
      <c r="B326" s="2" t="s">
        <v>662</v>
      </c>
    </row>
    <row r="327" spans="1:2" x14ac:dyDescent="0.4">
      <c r="A327" s="2" t="s">
        <v>663</v>
      </c>
      <c r="B327" s="2" t="s">
        <v>664</v>
      </c>
    </row>
    <row r="328" spans="1:2" x14ac:dyDescent="0.4">
      <c r="A328" s="2" t="s">
        <v>665</v>
      </c>
      <c r="B328" s="2" t="s">
        <v>666</v>
      </c>
    </row>
    <row r="329" spans="1:2" x14ac:dyDescent="0.4">
      <c r="A329" s="2" t="s">
        <v>667</v>
      </c>
      <c r="B329" s="2" t="s">
        <v>668</v>
      </c>
    </row>
    <row r="330" spans="1:2" x14ac:dyDescent="0.4">
      <c r="A330" s="2" t="s">
        <v>669</v>
      </c>
      <c r="B330" s="2" t="s">
        <v>670</v>
      </c>
    </row>
    <row r="331" spans="1:2" x14ac:dyDescent="0.4">
      <c r="A331" s="2" t="s">
        <v>671</v>
      </c>
      <c r="B331" s="2" t="s">
        <v>672</v>
      </c>
    </row>
    <row r="332" spans="1:2" x14ac:dyDescent="0.4">
      <c r="A332" s="2" t="s">
        <v>673</v>
      </c>
      <c r="B332" s="2" t="s">
        <v>674</v>
      </c>
    </row>
    <row r="333" spans="1:2" x14ac:dyDescent="0.4">
      <c r="A333" s="2" t="s">
        <v>675</v>
      </c>
      <c r="B333" s="2" t="s">
        <v>676</v>
      </c>
    </row>
    <row r="334" spans="1:2" x14ac:dyDescent="0.4">
      <c r="A334" s="2" t="s">
        <v>677</v>
      </c>
      <c r="B334" s="2" t="s">
        <v>678</v>
      </c>
    </row>
    <row r="335" spans="1:2" x14ac:dyDescent="0.4">
      <c r="A335" s="2" t="s">
        <v>679</v>
      </c>
      <c r="B335" s="2" t="s">
        <v>680</v>
      </c>
    </row>
    <row r="336" spans="1:2" x14ac:dyDescent="0.4">
      <c r="A336" s="2" t="s">
        <v>681</v>
      </c>
      <c r="B336" s="2" t="s">
        <v>682</v>
      </c>
    </row>
    <row r="337" spans="1:2" x14ac:dyDescent="0.4">
      <c r="A337" s="2" t="s">
        <v>683</v>
      </c>
      <c r="B337" s="2" t="s">
        <v>684</v>
      </c>
    </row>
    <row r="338" spans="1:2" x14ac:dyDescent="0.4">
      <c r="A338" s="2" t="s">
        <v>685</v>
      </c>
      <c r="B338" s="2" t="s">
        <v>686</v>
      </c>
    </row>
    <row r="339" spans="1:2" x14ac:dyDescent="0.4">
      <c r="A339" s="2" t="s">
        <v>687</v>
      </c>
      <c r="B339" s="2" t="s">
        <v>688</v>
      </c>
    </row>
    <row r="340" spans="1:2" x14ac:dyDescent="0.4">
      <c r="A340" s="2" t="s">
        <v>689</v>
      </c>
      <c r="B340" s="2" t="s">
        <v>690</v>
      </c>
    </row>
    <row r="341" spans="1:2" x14ac:dyDescent="0.4">
      <c r="A341" s="2" t="s">
        <v>691</v>
      </c>
      <c r="B341" s="2" t="s">
        <v>692</v>
      </c>
    </row>
    <row r="342" spans="1:2" x14ac:dyDescent="0.4">
      <c r="A342" s="2" t="s">
        <v>693</v>
      </c>
      <c r="B342" s="2" t="s">
        <v>694</v>
      </c>
    </row>
    <row r="343" spans="1:2" x14ac:dyDescent="0.4">
      <c r="A343" s="2" t="s">
        <v>695</v>
      </c>
      <c r="B343" s="2" t="s">
        <v>696</v>
      </c>
    </row>
    <row r="344" spans="1:2" x14ac:dyDescent="0.4">
      <c r="A344" s="2" t="s">
        <v>697</v>
      </c>
      <c r="B344" s="2" t="s">
        <v>698</v>
      </c>
    </row>
    <row r="345" spans="1:2" x14ac:dyDescent="0.4">
      <c r="A345" s="2" t="s">
        <v>699</v>
      </c>
      <c r="B345" s="2" t="s">
        <v>700</v>
      </c>
    </row>
    <row r="346" spans="1:2" x14ac:dyDescent="0.4">
      <c r="A346" s="2" t="s">
        <v>701</v>
      </c>
      <c r="B346" s="2" t="s">
        <v>702</v>
      </c>
    </row>
    <row r="347" spans="1:2" x14ac:dyDescent="0.4">
      <c r="A347" s="2" t="s">
        <v>703</v>
      </c>
      <c r="B347" s="2" t="s">
        <v>704</v>
      </c>
    </row>
    <row r="348" spans="1:2" x14ac:dyDescent="0.4">
      <c r="A348" s="2" t="s">
        <v>705</v>
      </c>
      <c r="B348" s="2" t="s">
        <v>706</v>
      </c>
    </row>
    <row r="349" spans="1:2" x14ac:dyDescent="0.4">
      <c r="A349" s="2" t="s">
        <v>707</v>
      </c>
      <c r="B349" s="2" t="s">
        <v>708</v>
      </c>
    </row>
    <row r="350" spans="1:2" x14ac:dyDescent="0.4">
      <c r="A350" s="2" t="s">
        <v>709</v>
      </c>
      <c r="B350" s="2" t="s">
        <v>710</v>
      </c>
    </row>
    <row r="351" spans="1:2" x14ac:dyDescent="0.4">
      <c r="A351" s="2" t="s">
        <v>711</v>
      </c>
      <c r="B351" s="2" t="s">
        <v>712</v>
      </c>
    </row>
    <row r="352" spans="1:2" x14ac:dyDescent="0.4">
      <c r="A352" s="2" t="s">
        <v>713</v>
      </c>
      <c r="B352" s="2" t="s">
        <v>714</v>
      </c>
    </row>
    <row r="353" spans="1:2" x14ac:dyDescent="0.4">
      <c r="A353" s="2" t="s">
        <v>715</v>
      </c>
      <c r="B353" s="2" t="s">
        <v>716</v>
      </c>
    </row>
    <row r="354" spans="1:2" x14ac:dyDescent="0.4">
      <c r="A354" s="2" t="s">
        <v>717</v>
      </c>
      <c r="B354" s="2" t="s">
        <v>718</v>
      </c>
    </row>
    <row r="355" spans="1:2" x14ac:dyDescent="0.4">
      <c r="A355" s="2" t="s">
        <v>719</v>
      </c>
      <c r="B355" s="2" t="s">
        <v>720</v>
      </c>
    </row>
    <row r="356" spans="1:2" x14ac:dyDescent="0.4">
      <c r="A356" s="2" t="s">
        <v>721</v>
      </c>
      <c r="B356" s="2" t="s">
        <v>722</v>
      </c>
    </row>
    <row r="357" spans="1:2" x14ac:dyDescent="0.4">
      <c r="A357" s="2" t="s">
        <v>723</v>
      </c>
      <c r="B357" s="2" t="s">
        <v>724</v>
      </c>
    </row>
    <row r="358" spans="1:2" x14ac:dyDescent="0.4">
      <c r="A358" s="2" t="s">
        <v>725</v>
      </c>
      <c r="B358" s="2" t="s">
        <v>726</v>
      </c>
    </row>
    <row r="359" spans="1:2" x14ac:dyDescent="0.4">
      <c r="A359" s="2" t="s">
        <v>727</v>
      </c>
      <c r="B359" s="2" t="s">
        <v>728</v>
      </c>
    </row>
    <row r="360" spans="1:2" x14ac:dyDescent="0.4">
      <c r="A360" s="2" t="s">
        <v>729</v>
      </c>
      <c r="B360" s="2" t="s">
        <v>730</v>
      </c>
    </row>
    <row r="361" spans="1:2" x14ac:dyDescent="0.4">
      <c r="A361" s="2" t="s">
        <v>731</v>
      </c>
      <c r="B361" s="2" t="s">
        <v>732</v>
      </c>
    </row>
    <row r="362" spans="1:2" x14ac:dyDescent="0.4">
      <c r="A362" s="2" t="s">
        <v>733</v>
      </c>
      <c r="B362" s="2" t="s">
        <v>734</v>
      </c>
    </row>
    <row r="363" spans="1:2" x14ac:dyDescent="0.4">
      <c r="A363" s="2" t="s">
        <v>735</v>
      </c>
      <c r="B363" s="2" t="s">
        <v>736</v>
      </c>
    </row>
    <row r="364" spans="1:2" x14ac:dyDescent="0.4">
      <c r="A364" s="2" t="s">
        <v>737</v>
      </c>
      <c r="B364" s="2" t="s">
        <v>738</v>
      </c>
    </row>
    <row r="365" spans="1:2" x14ac:dyDescent="0.4">
      <c r="A365" s="2" t="s">
        <v>739</v>
      </c>
      <c r="B365" s="2" t="s">
        <v>740</v>
      </c>
    </row>
    <row r="366" spans="1:2" x14ac:dyDescent="0.4">
      <c r="A366" s="2" t="s">
        <v>741</v>
      </c>
      <c r="B366" s="2" t="s">
        <v>742</v>
      </c>
    </row>
    <row r="367" spans="1:2" x14ac:dyDescent="0.4">
      <c r="A367" s="2" t="s">
        <v>743</v>
      </c>
      <c r="B367" s="2" t="s">
        <v>744</v>
      </c>
    </row>
    <row r="368" spans="1:2" x14ac:dyDescent="0.4">
      <c r="A368" s="2" t="s">
        <v>745</v>
      </c>
      <c r="B368" s="2" t="s">
        <v>746</v>
      </c>
    </row>
    <row r="369" spans="1:2" x14ac:dyDescent="0.4">
      <c r="A369" s="2" t="s">
        <v>747</v>
      </c>
      <c r="B369" s="2" t="s">
        <v>748</v>
      </c>
    </row>
    <row r="370" spans="1:2" x14ac:dyDescent="0.4">
      <c r="A370" s="2" t="s">
        <v>749</v>
      </c>
      <c r="B370" s="2" t="s">
        <v>750</v>
      </c>
    </row>
    <row r="371" spans="1:2" x14ac:dyDescent="0.4">
      <c r="A371" s="2" t="s">
        <v>751</v>
      </c>
      <c r="B371" s="2" t="s">
        <v>752</v>
      </c>
    </row>
    <row r="372" spans="1:2" x14ac:dyDescent="0.4">
      <c r="A372" s="2" t="s">
        <v>753</v>
      </c>
      <c r="B372" s="2" t="s">
        <v>754</v>
      </c>
    </row>
    <row r="373" spans="1:2" x14ac:dyDescent="0.4">
      <c r="A373" s="2" t="s">
        <v>755</v>
      </c>
      <c r="B373" s="2" t="s">
        <v>756</v>
      </c>
    </row>
    <row r="374" spans="1:2" x14ac:dyDescent="0.4">
      <c r="A374" s="2" t="s">
        <v>757</v>
      </c>
      <c r="B374" s="2" t="s">
        <v>758</v>
      </c>
    </row>
    <row r="375" spans="1:2" x14ac:dyDescent="0.4">
      <c r="A375" s="2" t="s">
        <v>759</v>
      </c>
      <c r="B375" s="2" t="s">
        <v>760</v>
      </c>
    </row>
    <row r="376" spans="1:2" x14ac:dyDescent="0.4">
      <c r="A376" s="2" t="s">
        <v>761</v>
      </c>
      <c r="B376" s="2" t="s">
        <v>762</v>
      </c>
    </row>
    <row r="377" spans="1:2" x14ac:dyDescent="0.4">
      <c r="A377" s="2" t="s">
        <v>763</v>
      </c>
      <c r="B377" s="2" t="s">
        <v>764</v>
      </c>
    </row>
    <row r="378" spans="1:2" x14ac:dyDescent="0.4">
      <c r="A378" s="2" t="s">
        <v>765</v>
      </c>
      <c r="B378" s="2" t="s">
        <v>766</v>
      </c>
    </row>
    <row r="379" spans="1:2" x14ac:dyDescent="0.4">
      <c r="A379" s="2" t="s">
        <v>767</v>
      </c>
      <c r="B379" s="2" t="s">
        <v>768</v>
      </c>
    </row>
    <row r="380" spans="1:2" x14ac:dyDescent="0.4">
      <c r="A380" s="2" t="s">
        <v>769</v>
      </c>
      <c r="B380" s="2" t="s">
        <v>770</v>
      </c>
    </row>
    <row r="381" spans="1:2" x14ac:dyDescent="0.4">
      <c r="A381" s="2" t="s">
        <v>771</v>
      </c>
      <c r="B381" s="2" t="s">
        <v>772</v>
      </c>
    </row>
    <row r="382" spans="1:2" x14ac:dyDescent="0.4">
      <c r="A382" s="2" t="s">
        <v>773</v>
      </c>
      <c r="B382" s="2" t="s">
        <v>774</v>
      </c>
    </row>
    <row r="383" spans="1:2" x14ac:dyDescent="0.4">
      <c r="A383" s="2" t="s">
        <v>775</v>
      </c>
      <c r="B383" s="2" t="s">
        <v>776</v>
      </c>
    </row>
    <row r="384" spans="1:2" x14ac:dyDescent="0.4">
      <c r="A384" s="2" t="s">
        <v>777</v>
      </c>
      <c r="B384" s="2" t="s">
        <v>778</v>
      </c>
    </row>
    <row r="385" spans="1:2" x14ac:dyDescent="0.4">
      <c r="A385" s="2" t="s">
        <v>779</v>
      </c>
      <c r="B385" s="2" t="s">
        <v>780</v>
      </c>
    </row>
    <row r="386" spans="1:2" x14ac:dyDescent="0.4">
      <c r="A386" s="2" t="s">
        <v>781</v>
      </c>
      <c r="B386" s="2" t="s">
        <v>782</v>
      </c>
    </row>
    <row r="387" spans="1:2" x14ac:dyDescent="0.4">
      <c r="A387" s="2" t="s">
        <v>783</v>
      </c>
      <c r="B387" s="2" t="s">
        <v>784</v>
      </c>
    </row>
    <row r="388" spans="1:2" x14ac:dyDescent="0.4">
      <c r="A388" s="2" t="s">
        <v>785</v>
      </c>
      <c r="B388" s="2" t="s">
        <v>786</v>
      </c>
    </row>
    <row r="389" spans="1:2" x14ac:dyDescent="0.4">
      <c r="A389" s="2" t="s">
        <v>787</v>
      </c>
      <c r="B389" s="2" t="s">
        <v>788</v>
      </c>
    </row>
    <row r="390" spans="1:2" x14ac:dyDescent="0.4">
      <c r="A390" s="2" t="s">
        <v>789</v>
      </c>
      <c r="B390" s="2" t="s">
        <v>790</v>
      </c>
    </row>
    <row r="391" spans="1:2" x14ac:dyDescent="0.4">
      <c r="A391" s="2" t="s">
        <v>791</v>
      </c>
      <c r="B391" s="2" t="s">
        <v>792</v>
      </c>
    </row>
    <row r="392" spans="1:2" x14ac:dyDescent="0.4">
      <c r="A392" s="2" t="s">
        <v>793</v>
      </c>
      <c r="B392" s="2" t="s">
        <v>794</v>
      </c>
    </row>
    <row r="393" spans="1:2" x14ac:dyDescent="0.4">
      <c r="A393" s="2" t="s">
        <v>795</v>
      </c>
      <c r="B393" s="2" t="s">
        <v>796</v>
      </c>
    </row>
    <row r="394" spans="1:2" x14ac:dyDescent="0.4">
      <c r="A394" s="2" t="s">
        <v>797</v>
      </c>
      <c r="B394" s="2" t="s">
        <v>798</v>
      </c>
    </row>
    <row r="395" spans="1:2" x14ac:dyDescent="0.4">
      <c r="A395" s="2" t="s">
        <v>799</v>
      </c>
      <c r="B395" s="2" t="s">
        <v>800</v>
      </c>
    </row>
    <row r="396" spans="1:2" x14ac:dyDescent="0.4">
      <c r="A396" s="2" t="s">
        <v>801</v>
      </c>
      <c r="B396" s="2" t="s">
        <v>802</v>
      </c>
    </row>
    <row r="397" spans="1:2" x14ac:dyDescent="0.4">
      <c r="A397" s="2" t="s">
        <v>803</v>
      </c>
      <c r="B397" s="2" t="s">
        <v>804</v>
      </c>
    </row>
    <row r="398" spans="1:2" x14ac:dyDescent="0.4">
      <c r="A398" s="2" t="s">
        <v>805</v>
      </c>
      <c r="B398" s="2" t="s">
        <v>806</v>
      </c>
    </row>
    <row r="399" spans="1:2" x14ac:dyDescent="0.4">
      <c r="A399" s="2" t="s">
        <v>807</v>
      </c>
      <c r="B399" s="2" t="s">
        <v>808</v>
      </c>
    </row>
    <row r="400" spans="1:2" x14ac:dyDescent="0.4">
      <c r="A400" s="2" t="s">
        <v>809</v>
      </c>
      <c r="B400" s="2" t="s">
        <v>810</v>
      </c>
    </row>
    <row r="401" spans="1:2" x14ac:dyDescent="0.4">
      <c r="A401" s="2" t="s">
        <v>811</v>
      </c>
      <c r="B401" s="2" t="s">
        <v>812</v>
      </c>
    </row>
    <row r="402" spans="1:2" x14ac:dyDescent="0.4">
      <c r="A402" s="2" t="s">
        <v>813</v>
      </c>
      <c r="B402" s="2" t="s">
        <v>814</v>
      </c>
    </row>
    <row r="403" spans="1:2" x14ac:dyDescent="0.4">
      <c r="A403" s="2" t="s">
        <v>815</v>
      </c>
      <c r="B403" s="2" t="s">
        <v>816</v>
      </c>
    </row>
    <row r="404" spans="1:2" x14ac:dyDescent="0.4">
      <c r="A404" s="2" t="s">
        <v>817</v>
      </c>
      <c r="B404" s="2" t="s">
        <v>818</v>
      </c>
    </row>
    <row r="405" spans="1:2" x14ac:dyDescent="0.4">
      <c r="A405" s="2" t="s">
        <v>819</v>
      </c>
      <c r="B405" s="2" t="s">
        <v>820</v>
      </c>
    </row>
    <row r="406" spans="1:2" x14ac:dyDescent="0.4">
      <c r="A406" s="2" t="s">
        <v>821</v>
      </c>
      <c r="B406" s="2" t="s">
        <v>822</v>
      </c>
    </row>
    <row r="407" spans="1:2" x14ac:dyDescent="0.4">
      <c r="A407" s="2" t="s">
        <v>823</v>
      </c>
      <c r="B407" s="2" t="s">
        <v>824</v>
      </c>
    </row>
    <row r="408" spans="1:2" x14ac:dyDescent="0.4">
      <c r="A408" s="2" t="s">
        <v>825</v>
      </c>
      <c r="B408" s="2" t="s">
        <v>826</v>
      </c>
    </row>
    <row r="409" spans="1:2" x14ac:dyDescent="0.4">
      <c r="A409" s="2" t="s">
        <v>827</v>
      </c>
      <c r="B409" s="2" t="s">
        <v>828</v>
      </c>
    </row>
    <row r="410" spans="1:2" x14ac:dyDescent="0.4">
      <c r="A410" s="2" t="s">
        <v>829</v>
      </c>
      <c r="B410" s="2" t="s">
        <v>830</v>
      </c>
    </row>
    <row r="411" spans="1:2" x14ac:dyDescent="0.4">
      <c r="A411" s="2" t="s">
        <v>831</v>
      </c>
      <c r="B411" s="2" t="s">
        <v>832</v>
      </c>
    </row>
    <row r="412" spans="1:2" x14ac:dyDescent="0.4">
      <c r="A412" s="2" t="s">
        <v>833</v>
      </c>
      <c r="B412" s="2" t="s">
        <v>834</v>
      </c>
    </row>
    <row r="413" spans="1:2" x14ac:dyDescent="0.4">
      <c r="A413" s="2" t="s">
        <v>835</v>
      </c>
      <c r="B413" s="2" t="s">
        <v>836</v>
      </c>
    </row>
    <row r="414" spans="1:2" x14ac:dyDescent="0.4">
      <c r="A414" s="2" t="s">
        <v>837</v>
      </c>
      <c r="B414" s="2" t="s">
        <v>838</v>
      </c>
    </row>
    <row r="415" spans="1:2" x14ac:dyDescent="0.4">
      <c r="A415" s="2" t="s">
        <v>839</v>
      </c>
      <c r="B415" s="2" t="s">
        <v>840</v>
      </c>
    </row>
    <row r="416" spans="1:2" x14ac:dyDescent="0.4">
      <c r="A416" s="2" t="s">
        <v>841</v>
      </c>
      <c r="B416" s="2" t="s">
        <v>842</v>
      </c>
    </row>
    <row r="417" spans="1:2" x14ac:dyDescent="0.4">
      <c r="A417" s="2" t="s">
        <v>843</v>
      </c>
      <c r="B417" s="2" t="s">
        <v>844</v>
      </c>
    </row>
    <row r="418" spans="1:2" x14ac:dyDescent="0.4">
      <c r="A418" s="2" t="s">
        <v>845</v>
      </c>
      <c r="B418" s="2" t="s">
        <v>846</v>
      </c>
    </row>
    <row r="419" spans="1:2" x14ac:dyDescent="0.4">
      <c r="A419" s="2" t="s">
        <v>847</v>
      </c>
      <c r="B419" s="2" t="s">
        <v>848</v>
      </c>
    </row>
    <row r="420" spans="1:2" x14ac:dyDescent="0.4">
      <c r="A420" s="2" t="s">
        <v>849</v>
      </c>
      <c r="B420" s="2" t="s">
        <v>850</v>
      </c>
    </row>
    <row r="421" spans="1:2" x14ac:dyDescent="0.4">
      <c r="A421" s="2" t="s">
        <v>851</v>
      </c>
      <c r="B421" s="2" t="s">
        <v>852</v>
      </c>
    </row>
    <row r="422" spans="1:2" x14ac:dyDescent="0.4">
      <c r="A422" s="2" t="s">
        <v>853</v>
      </c>
      <c r="B422" s="2" t="s">
        <v>854</v>
      </c>
    </row>
    <row r="423" spans="1:2" x14ac:dyDescent="0.4">
      <c r="A423" s="2" t="s">
        <v>855</v>
      </c>
      <c r="B423" s="2" t="s">
        <v>856</v>
      </c>
    </row>
    <row r="424" spans="1:2" x14ac:dyDescent="0.4">
      <c r="A424" s="2" t="s">
        <v>857</v>
      </c>
      <c r="B424" s="2" t="s">
        <v>858</v>
      </c>
    </row>
    <row r="425" spans="1:2" x14ac:dyDescent="0.4">
      <c r="A425" s="2" t="s">
        <v>859</v>
      </c>
      <c r="B425" s="2" t="s">
        <v>860</v>
      </c>
    </row>
    <row r="426" spans="1:2" x14ac:dyDescent="0.4">
      <c r="A426" s="2" t="s">
        <v>861</v>
      </c>
      <c r="B426" s="2" t="s">
        <v>862</v>
      </c>
    </row>
    <row r="427" spans="1:2" x14ac:dyDescent="0.4">
      <c r="A427" s="2" t="s">
        <v>863</v>
      </c>
      <c r="B427" s="2" t="s">
        <v>864</v>
      </c>
    </row>
    <row r="428" spans="1:2" x14ac:dyDescent="0.4">
      <c r="A428" s="2" t="s">
        <v>865</v>
      </c>
      <c r="B428" s="2" t="s">
        <v>866</v>
      </c>
    </row>
    <row r="429" spans="1:2" x14ac:dyDescent="0.4">
      <c r="A429" s="2" t="s">
        <v>867</v>
      </c>
      <c r="B429" s="2" t="s">
        <v>868</v>
      </c>
    </row>
    <row r="430" spans="1:2" x14ac:dyDescent="0.4">
      <c r="A430" s="2" t="s">
        <v>869</v>
      </c>
      <c r="B430" s="2" t="s">
        <v>870</v>
      </c>
    </row>
    <row r="431" spans="1:2" x14ac:dyDescent="0.4">
      <c r="A431" s="2" t="s">
        <v>871</v>
      </c>
      <c r="B431" s="2" t="s">
        <v>872</v>
      </c>
    </row>
    <row r="432" spans="1:2" x14ac:dyDescent="0.4">
      <c r="A432" s="2" t="s">
        <v>873</v>
      </c>
      <c r="B432" s="2" t="s">
        <v>874</v>
      </c>
    </row>
    <row r="433" spans="1:2" x14ac:dyDescent="0.4">
      <c r="A433" s="2" t="s">
        <v>875</v>
      </c>
      <c r="B433" s="2" t="s">
        <v>876</v>
      </c>
    </row>
    <row r="434" spans="1:2" x14ac:dyDescent="0.4">
      <c r="A434" s="2" t="s">
        <v>877</v>
      </c>
      <c r="B434" s="2" t="s">
        <v>878</v>
      </c>
    </row>
    <row r="435" spans="1:2" x14ac:dyDescent="0.4">
      <c r="A435" s="2" t="s">
        <v>879</v>
      </c>
      <c r="B435" s="2" t="s">
        <v>880</v>
      </c>
    </row>
    <row r="436" spans="1:2" x14ac:dyDescent="0.4">
      <c r="A436" s="2" t="s">
        <v>881</v>
      </c>
      <c r="B436" s="2" t="s">
        <v>882</v>
      </c>
    </row>
    <row r="437" spans="1:2" x14ac:dyDescent="0.4">
      <c r="A437" s="2" t="s">
        <v>883</v>
      </c>
      <c r="B437" s="2" t="s">
        <v>884</v>
      </c>
    </row>
    <row r="438" spans="1:2" x14ac:dyDescent="0.4">
      <c r="A438" s="2" t="s">
        <v>885</v>
      </c>
      <c r="B438" s="2" t="s">
        <v>886</v>
      </c>
    </row>
    <row r="439" spans="1:2" x14ac:dyDescent="0.4">
      <c r="A439" s="2" t="s">
        <v>887</v>
      </c>
      <c r="B439" s="2" t="s">
        <v>888</v>
      </c>
    </row>
    <row r="440" spans="1:2" x14ac:dyDescent="0.4">
      <c r="A440" s="2" t="s">
        <v>889</v>
      </c>
      <c r="B440" s="2" t="s">
        <v>890</v>
      </c>
    </row>
    <row r="441" spans="1:2" x14ac:dyDescent="0.4">
      <c r="A441" s="2" t="s">
        <v>891</v>
      </c>
      <c r="B441" s="2" t="s">
        <v>892</v>
      </c>
    </row>
    <row r="442" spans="1:2" x14ac:dyDescent="0.4">
      <c r="A442" s="2" t="s">
        <v>893</v>
      </c>
      <c r="B442" s="2" t="s">
        <v>894</v>
      </c>
    </row>
    <row r="443" spans="1:2" x14ac:dyDescent="0.4">
      <c r="A443" s="2" t="s">
        <v>895</v>
      </c>
      <c r="B443" s="2" t="s">
        <v>896</v>
      </c>
    </row>
    <row r="444" spans="1:2" x14ac:dyDescent="0.4">
      <c r="A444" s="2" t="s">
        <v>897</v>
      </c>
      <c r="B444" s="2" t="s">
        <v>898</v>
      </c>
    </row>
    <row r="445" spans="1:2" x14ac:dyDescent="0.4">
      <c r="A445" s="2" t="s">
        <v>899</v>
      </c>
      <c r="B445" s="2" t="s">
        <v>900</v>
      </c>
    </row>
    <row r="446" spans="1:2" x14ac:dyDescent="0.4">
      <c r="A446" s="2" t="s">
        <v>901</v>
      </c>
      <c r="B446" s="2" t="s">
        <v>902</v>
      </c>
    </row>
    <row r="447" spans="1:2" x14ac:dyDescent="0.4">
      <c r="A447" s="2" t="s">
        <v>9</v>
      </c>
      <c r="B447" s="2" t="s">
        <v>903</v>
      </c>
    </row>
    <row r="448" spans="1:2" x14ac:dyDescent="0.4">
      <c r="A448" s="2" t="s">
        <v>904</v>
      </c>
      <c r="B448" s="2" t="s">
        <v>905</v>
      </c>
    </row>
    <row r="449" spans="1:2" x14ac:dyDescent="0.4">
      <c r="A449" s="2" t="s">
        <v>906</v>
      </c>
      <c r="B449" s="2" t="s">
        <v>907</v>
      </c>
    </row>
    <row r="450" spans="1:2" x14ac:dyDescent="0.4">
      <c r="A450" s="2" t="s">
        <v>908</v>
      </c>
      <c r="B450" s="2" t="s">
        <v>909</v>
      </c>
    </row>
    <row r="451" spans="1:2" x14ac:dyDescent="0.4">
      <c r="A451" s="2" t="s">
        <v>910</v>
      </c>
      <c r="B451" s="2" t="s">
        <v>911</v>
      </c>
    </row>
    <row r="452" spans="1:2" x14ac:dyDescent="0.4">
      <c r="A452" s="2" t="s">
        <v>912</v>
      </c>
      <c r="B452" s="2" t="s">
        <v>913</v>
      </c>
    </row>
    <row r="453" spans="1:2" x14ac:dyDescent="0.4">
      <c r="A453" s="2" t="s">
        <v>914</v>
      </c>
      <c r="B453" s="2" t="s">
        <v>915</v>
      </c>
    </row>
    <row r="454" spans="1:2" x14ac:dyDescent="0.4">
      <c r="A454" s="2" t="s">
        <v>916</v>
      </c>
      <c r="B454" s="2" t="s">
        <v>917</v>
      </c>
    </row>
    <row r="455" spans="1:2" x14ac:dyDescent="0.4">
      <c r="A455" s="2" t="s">
        <v>918</v>
      </c>
      <c r="B455" s="2" t="s">
        <v>919</v>
      </c>
    </row>
    <row r="456" spans="1:2" x14ac:dyDescent="0.4">
      <c r="A456" s="2" t="s">
        <v>920</v>
      </c>
      <c r="B456" s="2" t="s">
        <v>921</v>
      </c>
    </row>
    <row r="457" spans="1:2" x14ac:dyDescent="0.4">
      <c r="A457" s="2" t="s">
        <v>922</v>
      </c>
      <c r="B457" s="2" t="s">
        <v>923</v>
      </c>
    </row>
    <row r="458" spans="1:2" x14ac:dyDescent="0.4">
      <c r="A458" s="2" t="s">
        <v>924</v>
      </c>
      <c r="B458" s="2" t="s">
        <v>925</v>
      </c>
    </row>
    <row r="459" spans="1:2" x14ac:dyDescent="0.4">
      <c r="A459" s="2" t="s">
        <v>926</v>
      </c>
      <c r="B459" s="2" t="s">
        <v>927</v>
      </c>
    </row>
    <row r="460" spans="1:2" x14ac:dyDescent="0.4">
      <c r="A460" s="2" t="s">
        <v>928</v>
      </c>
      <c r="B460" s="2" t="s">
        <v>929</v>
      </c>
    </row>
    <row r="461" spans="1:2" x14ac:dyDescent="0.4">
      <c r="A461" s="2" t="s">
        <v>930</v>
      </c>
      <c r="B461" s="2" t="s">
        <v>931</v>
      </c>
    </row>
    <row r="462" spans="1:2" x14ac:dyDescent="0.4">
      <c r="A462" s="2" t="s">
        <v>932</v>
      </c>
      <c r="B462" s="2" t="s">
        <v>933</v>
      </c>
    </row>
    <row r="463" spans="1:2" x14ac:dyDescent="0.4">
      <c r="A463" s="2" t="s">
        <v>934</v>
      </c>
      <c r="B463" s="2" t="s">
        <v>935</v>
      </c>
    </row>
    <row r="464" spans="1:2" x14ac:dyDescent="0.4">
      <c r="A464" s="2" t="s">
        <v>936</v>
      </c>
      <c r="B464" s="2" t="s">
        <v>937</v>
      </c>
    </row>
    <row r="465" spans="1:2" x14ac:dyDescent="0.4">
      <c r="A465" s="2" t="s">
        <v>938</v>
      </c>
      <c r="B465" s="2" t="s">
        <v>939</v>
      </c>
    </row>
    <row r="466" spans="1:2" x14ac:dyDescent="0.4">
      <c r="A466" s="2" t="s">
        <v>940</v>
      </c>
      <c r="B466" s="2" t="s">
        <v>941</v>
      </c>
    </row>
    <row r="467" spans="1:2" x14ac:dyDescent="0.4">
      <c r="A467" s="2" t="s">
        <v>942</v>
      </c>
      <c r="B467" s="2" t="s">
        <v>943</v>
      </c>
    </row>
    <row r="468" spans="1:2" x14ac:dyDescent="0.4">
      <c r="A468" s="2" t="s">
        <v>944</v>
      </c>
      <c r="B468" s="2" t="s">
        <v>945</v>
      </c>
    </row>
    <row r="469" spans="1:2" x14ac:dyDescent="0.4">
      <c r="A469" s="2" t="s">
        <v>946</v>
      </c>
      <c r="B469" s="2" t="s">
        <v>947</v>
      </c>
    </row>
    <row r="470" spans="1:2" x14ac:dyDescent="0.4">
      <c r="A470" s="2" t="s">
        <v>948</v>
      </c>
      <c r="B470" s="2" t="s">
        <v>949</v>
      </c>
    </row>
    <row r="471" spans="1:2" x14ac:dyDescent="0.4">
      <c r="A471" s="2" t="s">
        <v>950</v>
      </c>
      <c r="B471" s="2" t="s">
        <v>951</v>
      </c>
    </row>
    <row r="472" spans="1:2" x14ac:dyDescent="0.4">
      <c r="A472" s="2" t="s">
        <v>952</v>
      </c>
      <c r="B472" s="2" t="s">
        <v>953</v>
      </c>
    </row>
    <row r="473" spans="1:2" x14ac:dyDescent="0.4">
      <c r="A473" s="2" t="s">
        <v>954</v>
      </c>
      <c r="B473" s="2" t="s">
        <v>955</v>
      </c>
    </row>
    <row r="474" spans="1:2" x14ac:dyDescent="0.4">
      <c r="A474" s="2" t="s">
        <v>956</v>
      </c>
      <c r="B474" s="2" t="s">
        <v>957</v>
      </c>
    </row>
    <row r="475" spans="1:2" x14ac:dyDescent="0.4">
      <c r="A475" s="2" t="s">
        <v>958</v>
      </c>
      <c r="B475" s="2" t="s">
        <v>959</v>
      </c>
    </row>
    <row r="476" spans="1:2" x14ac:dyDescent="0.4">
      <c r="A476" s="2" t="s">
        <v>960</v>
      </c>
      <c r="B476" s="2" t="s">
        <v>961</v>
      </c>
    </row>
    <row r="477" spans="1:2" x14ac:dyDescent="0.4">
      <c r="A477" s="2" t="s">
        <v>962</v>
      </c>
      <c r="B477" s="2" t="s">
        <v>963</v>
      </c>
    </row>
    <row r="478" spans="1:2" x14ac:dyDescent="0.4">
      <c r="A478" s="2" t="s">
        <v>964</v>
      </c>
      <c r="B478" s="2" t="s">
        <v>965</v>
      </c>
    </row>
    <row r="479" spans="1:2" x14ac:dyDescent="0.4">
      <c r="A479" s="2" t="s">
        <v>966</v>
      </c>
      <c r="B479" s="2" t="s">
        <v>967</v>
      </c>
    </row>
    <row r="480" spans="1:2" x14ac:dyDescent="0.4">
      <c r="A480" s="2" t="s">
        <v>968</v>
      </c>
      <c r="B480" s="2" t="s">
        <v>969</v>
      </c>
    </row>
    <row r="481" spans="1:2" x14ac:dyDescent="0.4">
      <c r="A481" s="2" t="s">
        <v>970</v>
      </c>
      <c r="B481" s="2" t="s">
        <v>971</v>
      </c>
    </row>
    <row r="482" spans="1:2" x14ac:dyDescent="0.4">
      <c r="A482" s="2" t="s">
        <v>972</v>
      </c>
      <c r="B482" s="2" t="s">
        <v>973</v>
      </c>
    </row>
    <row r="483" spans="1:2" x14ac:dyDescent="0.4">
      <c r="A483" s="2" t="s">
        <v>974</v>
      </c>
      <c r="B483" s="2" t="s">
        <v>975</v>
      </c>
    </row>
    <row r="484" spans="1:2" x14ac:dyDescent="0.4">
      <c r="A484" s="2" t="s">
        <v>976</v>
      </c>
      <c r="B484" s="2" t="s">
        <v>977</v>
      </c>
    </row>
    <row r="485" spans="1:2" x14ac:dyDescent="0.4">
      <c r="A485" s="2" t="s">
        <v>978</v>
      </c>
      <c r="B485" s="2" t="s">
        <v>979</v>
      </c>
    </row>
    <row r="486" spans="1:2" x14ac:dyDescent="0.4">
      <c r="A486" s="2" t="s">
        <v>980</v>
      </c>
      <c r="B486" s="2" t="s">
        <v>981</v>
      </c>
    </row>
    <row r="487" spans="1:2" x14ac:dyDescent="0.4">
      <c r="A487" s="2" t="s">
        <v>982</v>
      </c>
      <c r="B487" s="2" t="s">
        <v>983</v>
      </c>
    </row>
    <row r="488" spans="1:2" x14ac:dyDescent="0.4">
      <c r="A488" s="2" t="s">
        <v>984</v>
      </c>
      <c r="B488" s="2" t="s">
        <v>985</v>
      </c>
    </row>
    <row r="489" spans="1:2" x14ac:dyDescent="0.4">
      <c r="A489" s="2" t="s">
        <v>986</v>
      </c>
      <c r="B489" s="2" t="s">
        <v>987</v>
      </c>
    </row>
    <row r="490" spans="1:2" x14ac:dyDescent="0.4">
      <c r="A490" s="2" t="s">
        <v>988</v>
      </c>
      <c r="B490" s="2" t="s">
        <v>989</v>
      </c>
    </row>
    <row r="491" spans="1:2" x14ac:dyDescent="0.4">
      <c r="A491" s="2" t="s">
        <v>990</v>
      </c>
      <c r="B491" s="2" t="s">
        <v>991</v>
      </c>
    </row>
    <row r="492" spans="1:2" x14ac:dyDescent="0.4">
      <c r="A492" s="2" t="s">
        <v>992</v>
      </c>
      <c r="B492" s="2" t="s">
        <v>993</v>
      </c>
    </row>
    <row r="493" spans="1:2" x14ac:dyDescent="0.4">
      <c r="A493" s="2" t="s">
        <v>994</v>
      </c>
      <c r="B493" s="2" t="s">
        <v>995</v>
      </c>
    </row>
    <row r="494" spans="1:2" x14ac:dyDescent="0.4">
      <c r="A494" s="2" t="s">
        <v>996</v>
      </c>
      <c r="B494" s="2" t="s">
        <v>997</v>
      </c>
    </row>
    <row r="495" spans="1:2" x14ac:dyDescent="0.4">
      <c r="A495" s="2" t="s">
        <v>998</v>
      </c>
      <c r="B495" s="2" t="s">
        <v>999</v>
      </c>
    </row>
    <row r="496" spans="1:2" x14ac:dyDescent="0.4">
      <c r="A496" s="2" t="s">
        <v>1000</v>
      </c>
      <c r="B496" s="2" t="s">
        <v>1001</v>
      </c>
    </row>
    <row r="497" spans="1:2" x14ac:dyDescent="0.4">
      <c r="A497" s="2" t="s">
        <v>1002</v>
      </c>
      <c r="B497" s="2" t="s">
        <v>1003</v>
      </c>
    </row>
    <row r="498" spans="1:2" x14ac:dyDescent="0.4">
      <c r="A498" s="2" t="s">
        <v>1004</v>
      </c>
      <c r="B498" s="2" t="s">
        <v>1005</v>
      </c>
    </row>
    <row r="499" spans="1:2" x14ac:dyDescent="0.4">
      <c r="A499" s="2" t="s">
        <v>1006</v>
      </c>
      <c r="B499" s="2" t="s">
        <v>1007</v>
      </c>
    </row>
    <row r="500" spans="1:2" x14ac:dyDescent="0.4">
      <c r="A500" s="2" t="s">
        <v>1008</v>
      </c>
      <c r="B500" s="2" t="s">
        <v>1009</v>
      </c>
    </row>
    <row r="501" spans="1:2" x14ac:dyDescent="0.4">
      <c r="A501" s="2" t="s">
        <v>1010</v>
      </c>
      <c r="B501" s="2" t="s">
        <v>1011</v>
      </c>
    </row>
    <row r="502" spans="1:2" x14ac:dyDescent="0.4">
      <c r="A502" s="2" t="s">
        <v>1012</v>
      </c>
      <c r="B502" s="2" t="s">
        <v>1013</v>
      </c>
    </row>
    <row r="503" spans="1:2" x14ac:dyDescent="0.4">
      <c r="A503" s="2" t="s">
        <v>1014</v>
      </c>
      <c r="B503" s="2" t="s">
        <v>1015</v>
      </c>
    </row>
    <row r="504" spans="1:2" x14ac:dyDescent="0.4">
      <c r="A504" s="2" t="s">
        <v>1016</v>
      </c>
      <c r="B504" s="2" t="s">
        <v>1017</v>
      </c>
    </row>
    <row r="505" spans="1:2" x14ac:dyDescent="0.4">
      <c r="A505" s="2" t="s">
        <v>1018</v>
      </c>
      <c r="B505" s="2" t="s">
        <v>1019</v>
      </c>
    </row>
    <row r="506" spans="1:2" x14ac:dyDescent="0.4">
      <c r="A506" s="2" t="s">
        <v>1020</v>
      </c>
      <c r="B506" s="2" t="s">
        <v>1021</v>
      </c>
    </row>
    <row r="507" spans="1:2" x14ac:dyDescent="0.4">
      <c r="A507" s="2" t="s">
        <v>1022</v>
      </c>
      <c r="B507" s="2" t="s">
        <v>1023</v>
      </c>
    </row>
    <row r="508" spans="1:2" x14ac:dyDescent="0.4">
      <c r="A508" s="2" t="s">
        <v>1024</v>
      </c>
      <c r="B508" s="2" t="s">
        <v>1025</v>
      </c>
    </row>
    <row r="509" spans="1:2" x14ac:dyDescent="0.4">
      <c r="A509" s="2" t="s">
        <v>1026</v>
      </c>
      <c r="B509" s="2" t="s">
        <v>1027</v>
      </c>
    </row>
    <row r="510" spans="1:2" x14ac:dyDescent="0.4">
      <c r="A510" s="2" t="s">
        <v>1028</v>
      </c>
      <c r="B510" s="2" t="s">
        <v>1029</v>
      </c>
    </row>
    <row r="511" spans="1:2" x14ac:dyDescent="0.4">
      <c r="A511" s="2" t="s">
        <v>1030</v>
      </c>
      <c r="B511" s="2" t="s">
        <v>1031</v>
      </c>
    </row>
    <row r="512" spans="1:2" x14ac:dyDescent="0.4">
      <c r="A512" s="2" t="s">
        <v>1032</v>
      </c>
      <c r="B512" s="2" t="s">
        <v>1033</v>
      </c>
    </row>
    <row r="513" spans="1:2" x14ac:dyDescent="0.4">
      <c r="A513" s="2" t="s">
        <v>1034</v>
      </c>
      <c r="B513" s="2" t="s">
        <v>1035</v>
      </c>
    </row>
    <row r="514" spans="1:2" x14ac:dyDescent="0.4">
      <c r="A514" s="2" t="s">
        <v>1036</v>
      </c>
      <c r="B514" s="2" t="s">
        <v>1037</v>
      </c>
    </row>
    <row r="515" spans="1:2" x14ac:dyDescent="0.4">
      <c r="A515" s="2" t="s">
        <v>1038</v>
      </c>
      <c r="B515" s="2" t="s">
        <v>1039</v>
      </c>
    </row>
    <row r="516" spans="1:2" x14ac:dyDescent="0.4">
      <c r="A516" s="2" t="s">
        <v>1040</v>
      </c>
      <c r="B516" s="2" t="s">
        <v>1041</v>
      </c>
    </row>
    <row r="517" spans="1:2" x14ac:dyDescent="0.4">
      <c r="A517" s="2" t="s">
        <v>1042</v>
      </c>
      <c r="B517" s="2" t="s">
        <v>1043</v>
      </c>
    </row>
    <row r="518" spans="1:2" x14ac:dyDescent="0.4">
      <c r="A518" s="2" t="s">
        <v>1044</v>
      </c>
      <c r="B518" s="2" t="s">
        <v>1045</v>
      </c>
    </row>
    <row r="519" spans="1:2" x14ac:dyDescent="0.4">
      <c r="A519" s="2" t="s">
        <v>1046</v>
      </c>
      <c r="B519" s="2" t="s">
        <v>1047</v>
      </c>
    </row>
    <row r="520" spans="1:2" x14ac:dyDescent="0.4">
      <c r="A520" s="2" t="s">
        <v>1048</v>
      </c>
      <c r="B520" s="2" t="s">
        <v>1049</v>
      </c>
    </row>
    <row r="521" spans="1:2" x14ac:dyDescent="0.4">
      <c r="A521" s="2" t="s">
        <v>1050</v>
      </c>
      <c r="B521" s="2" t="s">
        <v>1051</v>
      </c>
    </row>
    <row r="522" spans="1:2" x14ac:dyDescent="0.4">
      <c r="A522" s="2" t="s">
        <v>1052</v>
      </c>
      <c r="B522" s="2" t="s">
        <v>1053</v>
      </c>
    </row>
    <row r="523" spans="1:2" x14ac:dyDescent="0.4">
      <c r="A523" s="2" t="s">
        <v>1054</v>
      </c>
      <c r="B523" s="2" t="s">
        <v>1055</v>
      </c>
    </row>
    <row r="524" spans="1:2" x14ac:dyDescent="0.4">
      <c r="A524" s="2" t="s">
        <v>1056</v>
      </c>
      <c r="B524" s="2" t="s">
        <v>1057</v>
      </c>
    </row>
    <row r="525" spans="1:2" x14ac:dyDescent="0.4">
      <c r="A525" s="2" t="s">
        <v>1058</v>
      </c>
      <c r="B525" s="2" t="s">
        <v>1059</v>
      </c>
    </row>
    <row r="526" spans="1:2" x14ac:dyDescent="0.4">
      <c r="A526" s="2" t="s">
        <v>1060</v>
      </c>
      <c r="B526" s="2" t="s">
        <v>1061</v>
      </c>
    </row>
    <row r="527" spans="1:2" x14ac:dyDescent="0.4">
      <c r="A527" s="2" t="s">
        <v>1062</v>
      </c>
      <c r="B527" s="2" t="s">
        <v>1063</v>
      </c>
    </row>
    <row r="528" spans="1:2" x14ac:dyDescent="0.4">
      <c r="A528" s="2" t="s">
        <v>1064</v>
      </c>
      <c r="B528" s="2" t="s">
        <v>1065</v>
      </c>
    </row>
    <row r="529" spans="1:2" x14ac:dyDescent="0.4">
      <c r="A529" s="2" t="s">
        <v>1066</v>
      </c>
      <c r="B529" s="2" t="s">
        <v>1067</v>
      </c>
    </row>
    <row r="530" spans="1:2" x14ac:dyDescent="0.4">
      <c r="A530" s="2" t="s">
        <v>1068</v>
      </c>
      <c r="B530" s="2" t="s">
        <v>1069</v>
      </c>
    </row>
    <row r="531" spans="1:2" x14ac:dyDescent="0.4">
      <c r="A531" s="2" t="s">
        <v>1070</v>
      </c>
      <c r="B531" s="2" t="s">
        <v>1071</v>
      </c>
    </row>
    <row r="532" spans="1:2" x14ac:dyDescent="0.4">
      <c r="A532" s="2" t="s">
        <v>1072</v>
      </c>
      <c r="B532" s="2" t="s">
        <v>1073</v>
      </c>
    </row>
    <row r="533" spans="1:2" x14ac:dyDescent="0.4">
      <c r="A533" s="2" t="s">
        <v>1074</v>
      </c>
      <c r="B533" s="2" t="s">
        <v>1075</v>
      </c>
    </row>
    <row r="534" spans="1:2" x14ac:dyDescent="0.4">
      <c r="A534" s="2" t="s">
        <v>1076</v>
      </c>
      <c r="B534" s="2" t="s">
        <v>1077</v>
      </c>
    </row>
    <row r="535" spans="1:2" x14ac:dyDescent="0.4">
      <c r="A535" s="2" t="s">
        <v>1078</v>
      </c>
      <c r="B535" s="2" t="s">
        <v>1079</v>
      </c>
    </row>
    <row r="536" spans="1:2" x14ac:dyDescent="0.4">
      <c r="A536" s="2" t="s">
        <v>1080</v>
      </c>
      <c r="B536" s="2" t="s">
        <v>1081</v>
      </c>
    </row>
    <row r="537" spans="1:2" x14ac:dyDescent="0.4">
      <c r="A537" s="2" t="s">
        <v>1082</v>
      </c>
      <c r="B537" s="2" t="s">
        <v>1083</v>
      </c>
    </row>
    <row r="538" spans="1:2" x14ac:dyDescent="0.4">
      <c r="A538" s="2" t="s">
        <v>1084</v>
      </c>
      <c r="B538" s="2" t="s">
        <v>1085</v>
      </c>
    </row>
    <row r="539" spans="1:2" x14ac:dyDescent="0.4">
      <c r="A539" s="2" t="s">
        <v>1086</v>
      </c>
      <c r="B539" s="2" t="s">
        <v>1087</v>
      </c>
    </row>
    <row r="540" spans="1:2" x14ac:dyDescent="0.4">
      <c r="A540" s="2" t="s">
        <v>1088</v>
      </c>
      <c r="B540" s="2" t="s">
        <v>1089</v>
      </c>
    </row>
    <row r="541" spans="1:2" x14ac:dyDescent="0.4">
      <c r="A541" s="2" t="s">
        <v>1090</v>
      </c>
      <c r="B541" s="2" t="s">
        <v>1091</v>
      </c>
    </row>
    <row r="542" spans="1:2" x14ac:dyDescent="0.4">
      <c r="A542" s="2" t="s">
        <v>1092</v>
      </c>
      <c r="B542" s="2" t="s">
        <v>1093</v>
      </c>
    </row>
    <row r="543" spans="1:2" x14ac:dyDescent="0.4">
      <c r="A543" s="2" t="s">
        <v>1094</v>
      </c>
      <c r="B543" s="2" t="s">
        <v>1095</v>
      </c>
    </row>
    <row r="544" spans="1:2" x14ac:dyDescent="0.4">
      <c r="A544" s="2" t="s">
        <v>1096</v>
      </c>
      <c r="B544" s="2" t="s">
        <v>1097</v>
      </c>
    </row>
    <row r="545" spans="1:2" x14ac:dyDescent="0.4">
      <c r="A545" s="2" t="s">
        <v>1098</v>
      </c>
      <c r="B545" s="2" t="s">
        <v>1099</v>
      </c>
    </row>
    <row r="546" spans="1:2" x14ac:dyDescent="0.4">
      <c r="A546" s="2" t="s">
        <v>1100</v>
      </c>
      <c r="B546" s="2" t="s">
        <v>1101</v>
      </c>
    </row>
    <row r="547" spans="1:2" x14ac:dyDescent="0.4">
      <c r="A547" s="2" t="s">
        <v>1102</v>
      </c>
      <c r="B547" s="2" t="s">
        <v>1103</v>
      </c>
    </row>
    <row r="548" spans="1:2" x14ac:dyDescent="0.4">
      <c r="A548" s="2" t="s">
        <v>1104</v>
      </c>
      <c r="B548" s="2" t="s">
        <v>1105</v>
      </c>
    </row>
    <row r="549" spans="1:2" x14ac:dyDescent="0.4">
      <c r="A549" s="2" t="s">
        <v>1106</v>
      </c>
      <c r="B549" s="2" t="s">
        <v>1107</v>
      </c>
    </row>
    <row r="550" spans="1:2" x14ac:dyDescent="0.4">
      <c r="A550" s="2" t="s">
        <v>1108</v>
      </c>
      <c r="B550" s="2" t="s">
        <v>1109</v>
      </c>
    </row>
    <row r="551" spans="1:2" x14ac:dyDescent="0.4">
      <c r="A551" s="2" t="s">
        <v>1110</v>
      </c>
      <c r="B551" s="2" t="s">
        <v>1111</v>
      </c>
    </row>
    <row r="552" spans="1:2" x14ac:dyDescent="0.4">
      <c r="A552" s="2" t="s">
        <v>1112</v>
      </c>
      <c r="B552" s="2" t="s">
        <v>1113</v>
      </c>
    </row>
    <row r="553" spans="1:2" x14ac:dyDescent="0.4">
      <c r="A553" s="2" t="s">
        <v>1114</v>
      </c>
      <c r="B553" s="2" t="s">
        <v>1115</v>
      </c>
    </row>
    <row r="554" spans="1:2" x14ac:dyDescent="0.4">
      <c r="A554" s="2" t="s">
        <v>1116</v>
      </c>
      <c r="B554" s="2" t="s">
        <v>1117</v>
      </c>
    </row>
    <row r="555" spans="1:2" x14ac:dyDescent="0.4">
      <c r="A555" s="2" t="s">
        <v>1118</v>
      </c>
      <c r="B555" s="2" t="s">
        <v>1119</v>
      </c>
    </row>
    <row r="556" spans="1:2" x14ac:dyDescent="0.4">
      <c r="A556" s="2" t="s">
        <v>1120</v>
      </c>
      <c r="B556" s="2" t="s">
        <v>1121</v>
      </c>
    </row>
    <row r="557" spans="1:2" x14ac:dyDescent="0.4">
      <c r="A557" s="2" t="s">
        <v>1122</v>
      </c>
      <c r="B557" s="2" t="s">
        <v>1123</v>
      </c>
    </row>
    <row r="558" spans="1:2" x14ac:dyDescent="0.4">
      <c r="A558" s="2" t="s">
        <v>1124</v>
      </c>
      <c r="B558" s="2" t="s">
        <v>1125</v>
      </c>
    </row>
    <row r="559" spans="1:2" x14ac:dyDescent="0.4">
      <c r="A559" s="2" t="s">
        <v>1126</v>
      </c>
      <c r="B559" s="2" t="s">
        <v>1127</v>
      </c>
    </row>
    <row r="560" spans="1:2" x14ac:dyDescent="0.4">
      <c r="A560" s="2" t="s">
        <v>1128</v>
      </c>
      <c r="B560" s="2" t="s">
        <v>1129</v>
      </c>
    </row>
    <row r="561" spans="1:2" x14ac:dyDescent="0.4">
      <c r="A561" s="2" t="s">
        <v>1130</v>
      </c>
      <c r="B561" s="2" t="s">
        <v>1131</v>
      </c>
    </row>
    <row r="562" spans="1:2" x14ac:dyDescent="0.4">
      <c r="A562" s="2" t="s">
        <v>1132</v>
      </c>
      <c r="B562" s="2" t="s">
        <v>1133</v>
      </c>
    </row>
    <row r="563" spans="1:2" x14ac:dyDescent="0.4">
      <c r="A563" s="2" t="s">
        <v>1134</v>
      </c>
      <c r="B563" s="2" t="s">
        <v>1135</v>
      </c>
    </row>
    <row r="564" spans="1:2" x14ac:dyDescent="0.4">
      <c r="A564" s="2" t="s">
        <v>1136</v>
      </c>
      <c r="B564" s="2" t="s">
        <v>1137</v>
      </c>
    </row>
    <row r="565" spans="1:2" x14ac:dyDescent="0.4">
      <c r="A565" s="2" t="s">
        <v>1138</v>
      </c>
      <c r="B565" s="2" t="s">
        <v>1139</v>
      </c>
    </row>
    <row r="566" spans="1:2" x14ac:dyDescent="0.4">
      <c r="A566" s="2" t="s">
        <v>1140</v>
      </c>
      <c r="B566" s="2" t="s">
        <v>1141</v>
      </c>
    </row>
    <row r="567" spans="1:2" x14ac:dyDescent="0.4">
      <c r="A567" s="2" t="s">
        <v>1142</v>
      </c>
      <c r="B567" s="2" t="s">
        <v>1143</v>
      </c>
    </row>
    <row r="568" spans="1:2" x14ac:dyDescent="0.4">
      <c r="A568" s="2" t="s">
        <v>1144</v>
      </c>
      <c r="B568" s="2" t="s">
        <v>1145</v>
      </c>
    </row>
    <row r="569" spans="1:2" x14ac:dyDescent="0.4">
      <c r="A569" s="2" t="s">
        <v>1146</v>
      </c>
      <c r="B569" s="2" t="s">
        <v>1147</v>
      </c>
    </row>
    <row r="570" spans="1:2" x14ac:dyDescent="0.4">
      <c r="A570" s="2" t="s">
        <v>1148</v>
      </c>
      <c r="B570" s="2" t="s">
        <v>1149</v>
      </c>
    </row>
    <row r="571" spans="1:2" x14ac:dyDescent="0.4">
      <c r="A571" s="2" t="s">
        <v>1150</v>
      </c>
      <c r="B571" s="2" t="s">
        <v>1151</v>
      </c>
    </row>
    <row r="572" spans="1:2" x14ac:dyDescent="0.4">
      <c r="A572" s="2" t="s">
        <v>1152</v>
      </c>
      <c r="B572" s="2" t="s">
        <v>1153</v>
      </c>
    </row>
    <row r="573" spans="1:2" x14ac:dyDescent="0.4">
      <c r="A573" s="2" t="s">
        <v>1154</v>
      </c>
      <c r="B573" s="2" t="s">
        <v>1155</v>
      </c>
    </row>
    <row r="574" spans="1:2" x14ac:dyDescent="0.4">
      <c r="A574" s="2" t="s">
        <v>1156</v>
      </c>
      <c r="B574" s="2" t="s">
        <v>1157</v>
      </c>
    </row>
    <row r="575" spans="1:2" x14ac:dyDescent="0.4">
      <c r="A575" s="2" t="s">
        <v>1158</v>
      </c>
      <c r="B575" s="2" t="s">
        <v>1159</v>
      </c>
    </row>
    <row r="576" spans="1:2" x14ac:dyDescent="0.4">
      <c r="A576" s="2" t="s">
        <v>1160</v>
      </c>
      <c r="B576" s="2" t="s">
        <v>1161</v>
      </c>
    </row>
    <row r="577" spans="1:2" x14ac:dyDescent="0.4">
      <c r="A577" s="2" t="s">
        <v>1162</v>
      </c>
      <c r="B577" s="2" t="s">
        <v>1163</v>
      </c>
    </row>
    <row r="578" spans="1:2" x14ac:dyDescent="0.4">
      <c r="A578" s="2" t="s">
        <v>1164</v>
      </c>
      <c r="B578" s="2" t="s">
        <v>1165</v>
      </c>
    </row>
    <row r="579" spans="1:2" x14ac:dyDescent="0.4">
      <c r="A579" s="2" t="s">
        <v>1166</v>
      </c>
      <c r="B579" s="2" t="s">
        <v>1167</v>
      </c>
    </row>
    <row r="580" spans="1:2" x14ac:dyDescent="0.4">
      <c r="A580" s="2" t="s">
        <v>1168</v>
      </c>
      <c r="B580" s="2" t="s">
        <v>1169</v>
      </c>
    </row>
    <row r="581" spans="1:2" x14ac:dyDescent="0.4">
      <c r="A581" s="2" t="s">
        <v>1170</v>
      </c>
      <c r="B581" s="2" t="s">
        <v>1171</v>
      </c>
    </row>
    <row r="582" spans="1:2" x14ac:dyDescent="0.4">
      <c r="A582" s="2" t="s">
        <v>1172</v>
      </c>
      <c r="B582" s="2" t="s">
        <v>1173</v>
      </c>
    </row>
    <row r="583" spans="1:2" x14ac:dyDescent="0.4">
      <c r="A583" s="2" t="s">
        <v>1174</v>
      </c>
      <c r="B583" s="2" t="s">
        <v>1175</v>
      </c>
    </row>
    <row r="584" spans="1:2" x14ac:dyDescent="0.4">
      <c r="A584" s="2" t="s">
        <v>1176</v>
      </c>
      <c r="B584" s="2" t="s">
        <v>1177</v>
      </c>
    </row>
    <row r="585" spans="1:2" x14ac:dyDescent="0.4">
      <c r="A585" s="2" t="s">
        <v>1178</v>
      </c>
      <c r="B585" s="2" t="s">
        <v>1179</v>
      </c>
    </row>
    <row r="586" spans="1:2" x14ac:dyDescent="0.4">
      <c r="A586" s="2" t="s">
        <v>1180</v>
      </c>
      <c r="B586" s="2" t="s">
        <v>1181</v>
      </c>
    </row>
    <row r="587" spans="1:2" x14ac:dyDescent="0.4">
      <c r="A587" s="2" t="s">
        <v>1182</v>
      </c>
      <c r="B587" s="2" t="s">
        <v>1183</v>
      </c>
    </row>
    <row r="588" spans="1:2" x14ac:dyDescent="0.4">
      <c r="A588" s="2" t="s">
        <v>1184</v>
      </c>
      <c r="B588" s="2" t="s">
        <v>1185</v>
      </c>
    </row>
    <row r="589" spans="1:2" x14ac:dyDescent="0.4">
      <c r="A589" s="2" t="s">
        <v>1186</v>
      </c>
      <c r="B589" s="2" t="s">
        <v>1187</v>
      </c>
    </row>
    <row r="590" spans="1:2" x14ac:dyDescent="0.4">
      <c r="A590" s="2" t="s">
        <v>1188</v>
      </c>
      <c r="B590" s="2" t="s">
        <v>1189</v>
      </c>
    </row>
    <row r="591" spans="1:2" x14ac:dyDescent="0.4">
      <c r="A591" s="2" t="s">
        <v>1190</v>
      </c>
      <c r="B591" s="2" t="s">
        <v>1191</v>
      </c>
    </row>
    <row r="592" spans="1:2" x14ac:dyDescent="0.4">
      <c r="A592" s="2" t="s">
        <v>1192</v>
      </c>
      <c r="B592" s="2" t="s">
        <v>1193</v>
      </c>
    </row>
    <row r="593" spans="1:2" x14ac:dyDescent="0.4">
      <c r="A593" s="2" t="s">
        <v>1194</v>
      </c>
      <c r="B593" s="2" t="s">
        <v>1195</v>
      </c>
    </row>
    <row r="594" spans="1:2" x14ac:dyDescent="0.4">
      <c r="A594" s="2" t="s">
        <v>1196</v>
      </c>
      <c r="B594" s="2" t="s">
        <v>1197</v>
      </c>
    </row>
    <row r="595" spans="1:2" x14ac:dyDescent="0.4">
      <c r="A595" s="2" t="s">
        <v>1198</v>
      </c>
      <c r="B595" s="2" t="s">
        <v>1199</v>
      </c>
    </row>
    <row r="596" spans="1:2" x14ac:dyDescent="0.4">
      <c r="A596" s="2" t="s">
        <v>1200</v>
      </c>
      <c r="B596" s="2" t="s">
        <v>1201</v>
      </c>
    </row>
    <row r="597" spans="1:2" x14ac:dyDescent="0.4">
      <c r="A597" s="2" t="s">
        <v>1202</v>
      </c>
      <c r="B597" s="2" t="s">
        <v>1203</v>
      </c>
    </row>
    <row r="598" spans="1:2" x14ac:dyDescent="0.4">
      <c r="A598" s="2" t="s">
        <v>1204</v>
      </c>
      <c r="B598" s="2" t="s">
        <v>1205</v>
      </c>
    </row>
    <row r="599" spans="1:2" x14ac:dyDescent="0.4">
      <c r="A599" s="2" t="s">
        <v>1206</v>
      </c>
      <c r="B599" s="2" t="s">
        <v>1207</v>
      </c>
    </row>
    <row r="600" spans="1:2" x14ac:dyDescent="0.4">
      <c r="A600" s="2" t="s">
        <v>1208</v>
      </c>
      <c r="B600" s="2" t="s">
        <v>1209</v>
      </c>
    </row>
    <row r="601" spans="1:2" x14ac:dyDescent="0.4">
      <c r="A601" s="2" t="s">
        <v>1210</v>
      </c>
      <c r="B601" s="2" t="s">
        <v>1211</v>
      </c>
    </row>
    <row r="602" spans="1:2" x14ac:dyDescent="0.4">
      <c r="A602" s="2" t="s">
        <v>1212</v>
      </c>
      <c r="B602" s="2" t="s">
        <v>1213</v>
      </c>
    </row>
    <row r="603" spans="1:2" x14ac:dyDescent="0.4">
      <c r="A603" s="2" t="s">
        <v>1214</v>
      </c>
      <c r="B603" s="2" t="s">
        <v>1215</v>
      </c>
    </row>
    <row r="604" spans="1:2" x14ac:dyDescent="0.4">
      <c r="A604" s="2" t="s">
        <v>1216</v>
      </c>
      <c r="B604" s="2" t="s">
        <v>1217</v>
      </c>
    </row>
    <row r="605" spans="1:2" x14ac:dyDescent="0.4">
      <c r="A605" s="2" t="s">
        <v>1218</v>
      </c>
      <c r="B605" s="2" t="s">
        <v>1219</v>
      </c>
    </row>
    <row r="606" spans="1:2" x14ac:dyDescent="0.4">
      <c r="A606" s="2" t="s">
        <v>1220</v>
      </c>
      <c r="B606" s="2" t="s">
        <v>1221</v>
      </c>
    </row>
    <row r="607" spans="1:2" x14ac:dyDescent="0.4">
      <c r="A607" s="2" t="s">
        <v>1222</v>
      </c>
      <c r="B607" s="2" t="s">
        <v>1223</v>
      </c>
    </row>
    <row r="608" spans="1:2" x14ac:dyDescent="0.4">
      <c r="A608" s="2" t="s">
        <v>1224</v>
      </c>
      <c r="B608" s="2" t="s">
        <v>1225</v>
      </c>
    </row>
    <row r="609" spans="1:2" x14ac:dyDescent="0.4">
      <c r="A609" s="2" t="s">
        <v>1226</v>
      </c>
      <c r="B609" s="2" t="s">
        <v>1227</v>
      </c>
    </row>
    <row r="610" spans="1:2" x14ac:dyDescent="0.4">
      <c r="A610" s="2" t="s">
        <v>1228</v>
      </c>
      <c r="B610" s="2" t="s">
        <v>1229</v>
      </c>
    </row>
    <row r="611" spans="1:2" x14ac:dyDescent="0.4">
      <c r="A611" s="2" t="s">
        <v>1230</v>
      </c>
      <c r="B611" s="2" t="s">
        <v>1231</v>
      </c>
    </row>
    <row r="612" spans="1:2" x14ac:dyDescent="0.4">
      <c r="A612" s="2" t="s">
        <v>1232</v>
      </c>
      <c r="B612" s="2" t="s">
        <v>1233</v>
      </c>
    </row>
    <row r="613" spans="1:2" x14ac:dyDescent="0.4">
      <c r="A613" s="2" t="s">
        <v>1234</v>
      </c>
      <c r="B613" s="2" t="s">
        <v>1235</v>
      </c>
    </row>
    <row r="614" spans="1:2" x14ac:dyDescent="0.4">
      <c r="A614" s="2" t="s">
        <v>1236</v>
      </c>
      <c r="B614" s="2" t="s">
        <v>1237</v>
      </c>
    </row>
    <row r="615" spans="1:2" x14ac:dyDescent="0.4">
      <c r="A615" s="2" t="s">
        <v>1238</v>
      </c>
      <c r="B615" s="2" t="s">
        <v>1239</v>
      </c>
    </row>
    <row r="616" spans="1:2" x14ac:dyDescent="0.4">
      <c r="A616" s="2" t="s">
        <v>1240</v>
      </c>
      <c r="B616" s="2" t="s">
        <v>1241</v>
      </c>
    </row>
    <row r="617" spans="1:2" x14ac:dyDescent="0.4">
      <c r="A617" s="2" t="s">
        <v>1242</v>
      </c>
      <c r="B617" s="2" t="s">
        <v>1243</v>
      </c>
    </row>
    <row r="618" spans="1:2" x14ac:dyDescent="0.4">
      <c r="A618" s="2" t="s">
        <v>1244</v>
      </c>
      <c r="B618" s="2" t="s">
        <v>1245</v>
      </c>
    </row>
    <row r="619" spans="1:2" x14ac:dyDescent="0.4">
      <c r="A619" s="2" t="s">
        <v>1246</v>
      </c>
      <c r="B619" s="2" t="s">
        <v>1247</v>
      </c>
    </row>
    <row r="620" spans="1:2" x14ac:dyDescent="0.4">
      <c r="A620" s="2" t="s">
        <v>1248</v>
      </c>
      <c r="B620" s="2" t="s">
        <v>1249</v>
      </c>
    </row>
    <row r="621" spans="1:2" x14ac:dyDescent="0.4">
      <c r="A621" s="2" t="s">
        <v>1250</v>
      </c>
      <c r="B621" s="2" t="s">
        <v>1251</v>
      </c>
    </row>
    <row r="622" spans="1:2" x14ac:dyDescent="0.4">
      <c r="A622" s="2" t="s">
        <v>1252</v>
      </c>
      <c r="B622" s="2" t="s">
        <v>1253</v>
      </c>
    </row>
    <row r="623" spans="1:2" x14ac:dyDescent="0.4">
      <c r="A623" s="2" t="s">
        <v>1254</v>
      </c>
      <c r="B623" s="2" t="s">
        <v>1255</v>
      </c>
    </row>
    <row r="624" spans="1:2" x14ac:dyDescent="0.4">
      <c r="A624" s="2" t="s">
        <v>1256</v>
      </c>
      <c r="B624" s="2" t="s">
        <v>1257</v>
      </c>
    </row>
    <row r="625" spans="1:2" x14ac:dyDescent="0.4">
      <c r="A625" s="2" t="s">
        <v>1258</v>
      </c>
      <c r="B625" s="2" t="s">
        <v>1259</v>
      </c>
    </row>
    <row r="626" spans="1:2" x14ac:dyDescent="0.4">
      <c r="A626" s="2" t="s">
        <v>1260</v>
      </c>
      <c r="B626" s="2" t="s">
        <v>1261</v>
      </c>
    </row>
    <row r="627" spans="1:2" x14ac:dyDescent="0.4">
      <c r="A627" s="2" t="s">
        <v>1262</v>
      </c>
      <c r="B627" s="2" t="s">
        <v>1263</v>
      </c>
    </row>
    <row r="628" spans="1:2" x14ac:dyDescent="0.4">
      <c r="A628" s="2" t="s">
        <v>1264</v>
      </c>
      <c r="B628" s="2" t="s">
        <v>1265</v>
      </c>
    </row>
    <row r="629" spans="1:2" x14ac:dyDescent="0.4">
      <c r="A629" s="2" t="s">
        <v>1266</v>
      </c>
      <c r="B629" s="2" t="s">
        <v>1267</v>
      </c>
    </row>
    <row r="630" spans="1:2" x14ac:dyDescent="0.4">
      <c r="A630" s="2" t="s">
        <v>1268</v>
      </c>
      <c r="B630" s="2" t="s">
        <v>1269</v>
      </c>
    </row>
    <row r="631" spans="1:2" x14ac:dyDescent="0.4">
      <c r="A631" s="2" t="s">
        <v>1270</v>
      </c>
      <c r="B631" s="2" t="s">
        <v>1271</v>
      </c>
    </row>
    <row r="632" spans="1:2" x14ac:dyDescent="0.4">
      <c r="A632" s="2" t="s">
        <v>1272</v>
      </c>
      <c r="B632" s="2" t="s">
        <v>1273</v>
      </c>
    </row>
    <row r="633" spans="1:2" x14ac:dyDescent="0.4">
      <c r="A633" s="2" t="s">
        <v>1274</v>
      </c>
      <c r="B633" s="2" t="s">
        <v>1275</v>
      </c>
    </row>
    <row r="634" spans="1:2" x14ac:dyDescent="0.4">
      <c r="A634" s="2" t="s">
        <v>1276</v>
      </c>
      <c r="B634" s="2" t="s">
        <v>1277</v>
      </c>
    </row>
    <row r="635" spans="1:2" x14ac:dyDescent="0.4">
      <c r="A635" s="2" t="s">
        <v>1278</v>
      </c>
      <c r="B635" s="2" t="s">
        <v>1279</v>
      </c>
    </row>
    <row r="636" spans="1:2" x14ac:dyDescent="0.4">
      <c r="A636" s="2" t="s">
        <v>1280</v>
      </c>
      <c r="B636" s="2" t="s">
        <v>1281</v>
      </c>
    </row>
    <row r="637" spans="1:2" x14ac:dyDescent="0.4">
      <c r="A637" s="2" t="s">
        <v>1282</v>
      </c>
      <c r="B637" s="2" t="s">
        <v>1283</v>
      </c>
    </row>
    <row r="638" spans="1:2" x14ac:dyDescent="0.4">
      <c r="A638" s="2" t="s">
        <v>1284</v>
      </c>
      <c r="B638" s="2" t="s">
        <v>1285</v>
      </c>
    </row>
    <row r="639" spans="1:2" x14ac:dyDescent="0.4">
      <c r="A639" s="2" t="s">
        <v>1286</v>
      </c>
      <c r="B639" s="2" t="s">
        <v>1287</v>
      </c>
    </row>
    <row r="640" spans="1:2" x14ac:dyDescent="0.4">
      <c r="A640" s="2" t="s">
        <v>1288</v>
      </c>
      <c r="B640" s="2" t="s">
        <v>1289</v>
      </c>
    </row>
    <row r="641" spans="1:2" x14ac:dyDescent="0.4">
      <c r="A641" s="2" t="s">
        <v>1290</v>
      </c>
      <c r="B641" s="2" t="s">
        <v>1291</v>
      </c>
    </row>
    <row r="642" spans="1:2" x14ac:dyDescent="0.4">
      <c r="A642" s="2" t="s">
        <v>1292</v>
      </c>
      <c r="B642" s="2" t="s">
        <v>1293</v>
      </c>
    </row>
    <row r="643" spans="1:2" x14ac:dyDescent="0.4">
      <c r="A643" s="2" t="s">
        <v>1294</v>
      </c>
      <c r="B643" s="2" t="s">
        <v>1295</v>
      </c>
    </row>
    <row r="644" spans="1:2" x14ac:dyDescent="0.4">
      <c r="A644" s="2" t="s">
        <v>1296</v>
      </c>
      <c r="B644" s="2" t="s">
        <v>1297</v>
      </c>
    </row>
    <row r="645" spans="1:2" x14ac:dyDescent="0.4">
      <c r="A645" s="2" t="s">
        <v>1298</v>
      </c>
      <c r="B645" s="2" t="s">
        <v>1299</v>
      </c>
    </row>
    <row r="646" spans="1:2" x14ac:dyDescent="0.4">
      <c r="A646" s="2" t="s">
        <v>1300</v>
      </c>
      <c r="B646" s="2" t="s">
        <v>1301</v>
      </c>
    </row>
    <row r="647" spans="1:2" x14ac:dyDescent="0.4">
      <c r="A647" s="2" t="s">
        <v>1302</v>
      </c>
      <c r="B647" s="2" t="s">
        <v>1303</v>
      </c>
    </row>
    <row r="648" spans="1:2" x14ac:dyDescent="0.4">
      <c r="A648" s="2" t="s">
        <v>1304</v>
      </c>
      <c r="B648" s="2" t="s">
        <v>1305</v>
      </c>
    </row>
    <row r="649" spans="1:2" x14ac:dyDescent="0.4">
      <c r="A649" s="2" t="s">
        <v>1306</v>
      </c>
      <c r="B649" s="2" t="s">
        <v>1307</v>
      </c>
    </row>
    <row r="650" spans="1:2" x14ac:dyDescent="0.4">
      <c r="A650" s="2" t="s">
        <v>1308</v>
      </c>
      <c r="B650" s="2" t="s">
        <v>1309</v>
      </c>
    </row>
    <row r="651" spans="1:2" x14ac:dyDescent="0.4">
      <c r="A651" s="2" t="s">
        <v>1310</v>
      </c>
      <c r="B651" s="2" t="s">
        <v>1311</v>
      </c>
    </row>
    <row r="652" spans="1:2" x14ac:dyDescent="0.4">
      <c r="A652" s="2" t="s">
        <v>1312</v>
      </c>
      <c r="B652" s="2" t="s">
        <v>1313</v>
      </c>
    </row>
    <row r="653" spans="1:2" x14ac:dyDescent="0.4">
      <c r="A653" s="2" t="s">
        <v>1314</v>
      </c>
      <c r="B653" s="2" t="s">
        <v>1315</v>
      </c>
    </row>
    <row r="654" spans="1:2" x14ac:dyDescent="0.4">
      <c r="A654" s="2" t="s">
        <v>1316</v>
      </c>
      <c r="B654" s="2" t="s">
        <v>1317</v>
      </c>
    </row>
    <row r="655" spans="1:2" x14ac:dyDescent="0.4">
      <c r="A655" s="2" t="s">
        <v>1318</v>
      </c>
      <c r="B655" s="2" t="s">
        <v>1319</v>
      </c>
    </row>
    <row r="656" spans="1:2" x14ac:dyDescent="0.4">
      <c r="A656" s="2" t="s">
        <v>1320</v>
      </c>
      <c r="B656" s="2" t="s">
        <v>1321</v>
      </c>
    </row>
    <row r="657" spans="1:2" x14ac:dyDescent="0.4">
      <c r="A657" s="2" t="s">
        <v>1322</v>
      </c>
      <c r="B657" s="2" t="s">
        <v>1323</v>
      </c>
    </row>
    <row r="658" spans="1:2" x14ac:dyDescent="0.4">
      <c r="A658" s="2" t="s">
        <v>1324</v>
      </c>
      <c r="B658" s="2" t="s">
        <v>1325</v>
      </c>
    </row>
    <row r="659" spans="1:2" x14ac:dyDescent="0.4">
      <c r="A659" s="2" t="s">
        <v>1326</v>
      </c>
      <c r="B659" s="2" t="s">
        <v>1327</v>
      </c>
    </row>
    <row r="660" spans="1:2" x14ac:dyDescent="0.4">
      <c r="A660" s="2" t="s">
        <v>1328</v>
      </c>
      <c r="B660" s="2" t="s">
        <v>1329</v>
      </c>
    </row>
    <row r="661" spans="1:2" x14ac:dyDescent="0.4">
      <c r="A661" s="2" t="s">
        <v>1330</v>
      </c>
      <c r="B661" s="2" t="s">
        <v>1331</v>
      </c>
    </row>
    <row r="662" spans="1:2" x14ac:dyDescent="0.4">
      <c r="A662" s="2" t="s">
        <v>1332</v>
      </c>
      <c r="B662" s="2" t="s">
        <v>1333</v>
      </c>
    </row>
    <row r="663" spans="1:2" x14ac:dyDescent="0.4">
      <c r="A663" s="2" t="s">
        <v>1334</v>
      </c>
      <c r="B663" s="2" t="s">
        <v>1335</v>
      </c>
    </row>
    <row r="664" spans="1:2" x14ac:dyDescent="0.4">
      <c r="A664" s="2" t="s">
        <v>1336</v>
      </c>
      <c r="B664" s="2" t="s">
        <v>1337</v>
      </c>
    </row>
    <row r="665" spans="1:2" x14ac:dyDescent="0.4">
      <c r="A665" s="2" t="s">
        <v>1338</v>
      </c>
      <c r="B665" s="2" t="s">
        <v>1339</v>
      </c>
    </row>
    <row r="666" spans="1:2" x14ac:dyDescent="0.4">
      <c r="A666" s="2" t="s">
        <v>1340</v>
      </c>
      <c r="B666" s="2" t="s">
        <v>1341</v>
      </c>
    </row>
    <row r="667" spans="1:2" x14ac:dyDescent="0.4">
      <c r="A667" s="2" t="s">
        <v>1342</v>
      </c>
      <c r="B667" s="2" t="s">
        <v>1343</v>
      </c>
    </row>
    <row r="668" spans="1:2" x14ac:dyDescent="0.4">
      <c r="A668" s="2" t="s">
        <v>1344</v>
      </c>
      <c r="B668" s="2" t="s">
        <v>1345</v>
      </c>
    </row>
    <row r="669" spans="1:2" x14ac:dyDescent="0.4">
      <c r="A669" s="2" t="s">
        <v>1346</v>
      </c>
      <c r="B669" s="2" t="s">
        <v>1347</v>
      </c>
    </row>
    <row r="670" spans="1:2" x14ac:dyDescent="0.4">
      <c r="A670" s="2" t="s">
        <v>1348</v>
      </c>
      <c r="B670" s="2" t="s">
        <v>1349</v>
      </c>
    </row>
    <row r="671" spans="1:2" x14ac:dyDescent="0.4">
      <c r="A671" s="2" t="s">
        <v>1350</v>
      </c>
      <c r="B671" s="2" t="s">
        <v>1351</v>
      </c>
    </row>
    <row r="672" spans="1:2" x14ac:dyDescent="0.4">
      <c r="A672" s="2" t="s">
        <v>1352</v>
      </c>
      <c r="B672" s="2" t="s">
        <v>1353</v>
      </c>
    </row>
    <row r="673" spans="1:2" x14ac:dyDescent="0.4">
      <c r="A673" s="2" t="s">
        <v>1354</v>
      </c>
      <c r="B673" s="2" t="s">
        <v>1355</v>
      </c>
    </row>
    <row r="674" spans="1:2" x14ac:dyDescent="0.4">
      <c r="A674" s="2" t="s">
        <v>1356</v>
      </c>
      <c r="B674" s="2" t="s">
        <v>1357</v>
      </c>
    </row>
    <row r="675" spans="1:2" x14ac:dyDescent="0.4">
      <c r="A675" s="2" t="s">
        <v>1358</v>
      </c>
      <c r="B675" s="2" t="s">
        <v>1359</v>
      </c>
    </row>
    <row r="676" spans="1:2" x14ac:dyDescent="0.4">
      <c r="A676" s="2" t="s">
        <v>1360</v>
      </c>
      <c r="B676" s="2" t="s">
        <v>1361</v>
      </c>
    </row>
    <row r="677" spans="1:2" x14ac:dyDescent="0.4">
      <c r="A677" s="2" t="s">
        <v>1362</v>
      </c>
      <c r="B677" s="2" t="s">
        <v>1363</v>
      </c>
    </row>
    <row r="678" spans="1:2" x14ac:dyDescent="0.4">
      <c r="A678" s="2" t="s">
        <v>1364</v>
      </c>
      <c r="B678" s="2" t="s">
        <v>1365</v>
      </c>
    </row>
    <row r="679" spans="1:2" x14ac:dyDescent="0.4">
      <c r="A679" s="2" t="s">
        <v>1366</v>
      </c>
      <c r="B679" s="2" t="s">
        <v>1367</v>
      </c>
    </row>
    <row r="680" spans="1:2" x14ac:dyDescent="0.4">
      <c r="A680" s="2" t="s">
        <v>1368</v>
      </c>
      <c r="B680" s="2" t="s">
        <v>1369</v>
      </c>
    </row>
    <row r="681" spans="1:2" x14ac:dyDescent="0.4">
      <c r="A681" s="2" t="s">
        <v>1370</v>
      </c>
      <c r="B681" s="2" t="s">
        <v>1371</v>
      </c>
    </row>
    <row r="682" spans="1:2" x14ac:dyDescent="0.4">
      <c r="A682" s="2" t="s">
        <v>1372</v>
      </c>
      <c r="B682" s="2" t="s">
        <v>1373</v>
      </c>
    </row>
    <row r="683" spans="1:2" x14ac:dyDescent="0.4">
      <c r="A683" s="2" t="s">
        <v>1374</v>
      </c>
      <c r="B683" s="2" t="s">
        <v>1375</v>
      </c>
    </row>
    <row r="684" spans="1:2" x14ac:dyDescent="0.4">
      <c r="A684" s="2" t="s">
        <v>1376</v>
      </c>
      <c r="B684" s="2" t="s">
        <v>1377</v>
      </c>
    </row>
    <row r="685" spans="1:2" x14ac:dyDescent="0.4">
      <c r="A685" s="2" t="s">
        <v>1378</v>
      </c>
      <c r="B685" s="2" t="s">
        <v>1379</v>
      </c>
    </row>
    <row r="686" spans="1:2" x14ac:dyDescent="0.4">
      <c r="A686" s="2" t="s">
        <v>1380</v>
      </c>
      <c r="B686" s="2" t="s">
        <v>1381</v>
      </c>
    </row>
    <row r="687" spans="1:2" x14ac:dyDescent="0.4">
      <c r="A687" s="2" t="s">
        <v>1382</v>
      </c>
      <c r="B687" s="2" t="s">
        <v>1383</v>
      </c>
    </row>
    <row r="688" spans="1:2" x14ac:dyDescent="0.4">
      <c r="A688" s="2" t="s">
        <v>1384</v>
      </c>
      <c r="B688" s="2" t="s">
        <v>1385</v>
      </c>
    </row>
    <row r="689" spans="1:2" x14ac:dyDescent="0.4">
      <c r="A689" s="2" t="s">
        <v>1386</v>
      </c>
      <c r="B689" s="2" t="s">
        <v>1387</v>
      </c>
    </row>
    <row r="690" spans="1:2" x14ac:dyDescent="0.4">
      <c r="A690" s="2" t="s">
        <v>1388</v>
      </c>
      <c r="B690" s="2" t="s">
        <v>1389</v>
      </c>
    </row>
    <row r="691" spans="1:2" x14ac:dyDescent="0.4">
      <c r="A691" s="2" t="s">
        <v>1390</v>
      </c>
      <c r="B691" s="2" t="s">
        <v>1391</v>
      </c>
    </row>
    <row r="692" spans="1:2" x14ac:dyDescent="0.4">
      <c r="A692" s="2" t="s">
        <v>1392</v>
      </c>
      <c r="B692" s="2" t="s">
        <v>1393</v>
      </c>
    </row>
    <row r="693" spans="1:2" x14ac:dyDescent="0.4">
      <c r="A693" s="2" t="s">
        <v>1394</v>
      </c>
      <c r="B693" s="2" t="s">
        <v>1395</v>
      </c>
    </row>
    <row r="694" spans="1:2" x14ac:dyDescent="0.4">
      <c r="A694" s="2" t="s">
        <v>1396</v>
      </c>
      <c r="B694" s="2" t="s">
        <v>1397</v>
      </c>
    </row>
    <row r="695" spans="1:2" x14ac:dyDescent="0.4">
      <c r="A695" s="2" t="s">
        <v>1398</v>
      </c>
      <c r="B695" s="2" t="s">
        <v>1399</v>
      </c>
    </row>
    <row r="696" spans="1:2" x14ac:dyDescent="0.4">
      <c r="A696" s="2" t="s">
        <v>1400</v>
      </c>
      <c r="B696" s="2" t="s">
        <v>1401</v>
      </c>
    </row>
    <row r="697" spans="1:2" x14ac:dyDescent="0.4">
      <c r="A697" s="2" t="s">
        <v>1402</v>
      </c>
      <c r="B697" s="2" t="s">
        <v>1403</v>
      </c>
    </row>
    <row r="698" spans="1:2" x14ac:dyDescent="0.4">
      <c r="A698" s="2" t="s">
        <v>1404</v>
      </c>
      <c r="B698" s="2" t="s">
        <v>1405</v>
      </c>
    </row>
    <row r="699" spans="1:2" x14ac:dyDescent="0.4">
      <c r="A699" s="2" t="s">
        <v>1406</v>
      </c>
      <c r="B699" s="2" t="s">
        <v>1407</v>
      </c>
    </row>
    <row r="700" spans="1:2" x14ac:dyDescent="0.4">
      <c r="A700" s="2" t="s">
        <v>1408</v>
      </c>
      <c r="B700" s="2" t="s">
        <v>1409</v>
      </c>
    </row>
    <row r="701" spans="1:2" x14ac:dyDescent="0.4">
      <c r="A701" s="2" t="s">
        <v>1410</v>
      </c>
      <c r="B701" s="2" t="s">
        <v>1411</v>
      </c>
    </row>
    <row r="702" spans="1:2" x14ac:dyDescent="0.4">
      <c r="A702" s="2" t="s">
        <v>1412</v>
      </c>
      <c r="B702" s="2" t="s">
        <v>1413</v>
      </c>
    </row>
    <row r="703" spans="1:2" x14ac:dyDescent="0.4">
      <c r="A703" s="2" t="s">
        <v>1414</v>
      </c>
      <c r="B703" s="2" t="s">
        <v>1415</v>
      </c>
    </row>
    <row r="704" spans="1:2" x14ac:dyDescent="0.4">
      <c r="A704" s="2" t="s">
        <v>1416</v>
      </c>
      <c r="B704" s="2" t="s">
        <v>1417</v>
      </c>
    </row>
    <row r="705" spans="1:2" x14ac:dyDescent="0.4">
      <c r="A705" s="2" t="s">
        <v>1418</v>
      </c>
      <c r="B705" s="2" t="s">
        <v>1419</v>
      </c>
    </row>
    <row r="706" spans="1:2" x14ac:dyDescent="0.4">
      <c r="A706" s="2" t="s">
        <v>1420</v>
      </c>
      <c r="B706" s="2" t="s">
        <v>1421</v>
      </c>
    </row>
    <row r="707" spans="1:2" x14ac:dyDescent="0.4">
      <c r="A707" s="2" t="s">
        <v>1422</v>
      </c>
      <c r="B707" s="2" t="s">
        <v>1423</v>
      </c>
    </row>
    <row r="708" spans="1:2" x14ac:dyDescent="0.4">
      <c r="A708" s="2" t="s">
        <v>1424</v>
      </c>
      <c r="B708" s="2" t="s">
        <v>1425</v>
      </c>
    </row>
    <row r="709" spans="1:2" x14ac:dyDescent="0.4">
      <c r="A709" s="2" t="s">
        <v>1426</v>
      </c>
      <c r="B709" s="2" t="s">
        <v>1427</v>
      </c>
    </row>
    <row r="710" spans="1:2" x14ac:dyDescent="0.4">
      <c r="A710" s="2" t="s">
        <v>1428</v>
      </c>
      <c r="B710" s="2" t="s">
        <v>1429</v>
      </c>
    </row>
    <row r="711" spans="1:2" x14ac:dyDescent="0.4">
      <c r="A711" s="2" t="s">
        <v>1430</v>
      </c>
      <c r="B711" s="2" t="s">
        <v>1431</v>
      </c>
    </row>
    <row r="712" spans="1:2" x14ac:dyDescent="0.4">
      <c r="A712" s="2" t="s">
        <v>1432</v>
      </c>
      <c r="B712" s="2" t="s">
        <v>1433</v>
      </c>
    </row>
    <row r="713" spans="1:2" x14ac:dyDescent="0.4">
      <c r="A713" s="2" t="s">
        <v>1434</v>
      </c>
      <c r="B713" s="2" t="s">
        <v>1435</v>
      </c>
    </row>
    <row r="714" spans="1:2" x14ac:dyDescent="0.4">
      <c r="A714" s="2" t="s">
        <v>1436</v>
      </c>
      <c r="B714" s="2" t="s">
        <v>1437</v>
      </c>
    </row>
    <row r="715" spans="1:2" x14ac:dyDescent="0.4">
      <c r="A715" s="2" t="s">
        <v>1438</v>
      </c>
      <c r="B715" s="2" t="s">
        <v>1439</v>
      </c>
    </row>
    <row r="716" spans="1:2" x14ac:dyDescent="0.4">
      <c r="A716" s="2" t="s">
        <v>1440</v>
      </c>
      <c r="B716" s="2" t="s">
        <v>1441</v>
      </c>
    </row>
    <row r="717" spans="1:2" x14ac:dyDescent="0.4">
      <c r="A717" s="2" t="s">
        <v>1442</v>
      </c>
      <c r="B717" s="2" t="s">
        <v>1443</v>
      </c>
    </row>
    <row r="718" spans="1:2" x14ac:dyDescent="0.4">
      <c r="A718" s="2" t="s">
        <v>1444</v>
      </c>
      <c r="B718" s="2" t="s">
        <v>1445</v>
      </c>
    </row>
    <row r="719" spans="1:2" x14ac:dyDescent="0.4">
      <c r="A719" s="2" t="s">
        <v>1446</v>
      </c>
      <c r="B719" s="2" t="s">
        <v>1447</v>
      </c>
    </row>
    <row r="720" spans="1:2" x14ac:dyDescent="0.4">
      <c r="A720" s="2" t="s">
        <v>1448</v>
      </c>
      <c r="B720" s="2" t="s">
        <v>1449</v>
      </c>
    </row>
    <row r="721" spans="1:2" x14ac:dyDescent="0.4">
      <c r="A721" s="2" t="s">
        <v>1450</v>
      </c>
      <c r="B721" s="2" t="s">
        <v>1451</v>
      </c>
    </row>
    <row r="722" spans="1:2" x14ac:dyDescent="0.4">
      <c r="A722" s="2" t="s">
        <v>1452</v>
      </c>
      <c r="B722" s="2" t="s">
        <v>1453</v>
      </c>
    </row>
    <row r="723" spans="1:2" x14ac:dyDescent="0.4">
      <c r="A723" s="2" t="s">
        <v>1454</v>
      </c>
      <c r="B723" s="2" t="s">
        <v>1455</v>
      </c>
    </row>
    <row r="724" spans="1:2" x14ac:dyDescent="0.4">
      <c r="A724" s="2" t="s">
        <v>1456</v>
      </c>
      <c r="B724" s="2" t="s">
        <v>1457</v>
      </c>
    </row>
    <row r="725" spans="1:2" x14ac:dyDescent="0.4">
      <c r="A725" s="2" t="s">
        <v>1458</v>
      </c>
      <c r="B725" s="2" t="s">
        <v>1459</v>
      </c>
    </row>
    <row r="726" spans="1:2" x14ac:dyDescent="0.4">
      <c r="A726" s="2" t="s">
        <v>1460</v>
      </c>
      <c r="B726" s="2" t="s">
        <v>1461</v>
      </c>
    </row>
    <row r="727" spans="1:2" x14ac:dyDescent="0.4">
      <c r="A727" s="2" t="s">
        <v>1462</v>
      </c>
      <c r="B727" s="2" t="s">
        <v>1463</v>
      </c>
    </row>
    <row r="728" spans="1:2" x14ac:dyDescent="0.4">
      <c r="A728" s="2" t="s">
        <v>1464</v>
      </c>
      <c r="B728" s="2" t="s">
        <v>1465</v>
      </c>
    </row>
    <row r="729" spans="1:2" x14ac:dyDescent="0.4">
      <c r="A729" s="2" t="s">
        <v>1466</v>
      </c>
      <c r="B729" s="2" t="s">
        <v>1467</v>
      </c>
    </row>
    <row r="730" spans="1:2" x14ac:dyDescent="0.4">
      <c r="A730" s="2" t="s">
        <v>1468</v>
      </c>
      <c r="B730" s="2" t="s">
        <v>1469</v>
      </c>
    </row>
    <row r="731" spans="1:2" x14ac:dyDescent="0.4">
      <c r="A731" s="2" t="s">
        <v>1470</v>
      </c>
      <c r="B731" s="2" t="s">
        <v>1471</v>
      </c>
    </row>
    <row r="732" spans="1:2" x14ac:dyDescent="0.4">
      <c r="A732" s="2" t="s">
        <v>1472</v>
      </c>
      <c r="B732" s="2" t="s">
        <v>1473</v>
      </c>
    </row>
    <row r="733" spans="1:2" x14ac:dyDescent="0.4">
      <c r="A733" s="2" t="s">
        <v>1474</v>
      </c>
      <c r="B733" s="2" t="s">
        <v>1475</v>
      </c>
    </row>
    <row r="734" spans="1:2" x14ac:dyDescent="0.4">
      <c r="A734" s="2" t="s">
        <v>1476</v>
      </c>
      <c r="B734" s="2" t="s">
        <v>1477</v>
      </c>
    </row>
    <row r="735" spans="1:2" x14ac:dyDescent="0.4">
      <c r="A735" s="2" t="s">
        <v>1478</v>
      </c>
      <c r="B735" s="2" t="s">
        <v>1479</v>
      </c>
    </row>
    <row r="736" spans="1:2" x14ac:dyDescent="0.4">
      <c r="A736" s="2" t="s">
        <v>1480</v>
      </c>
      <c r="B736" s="2" t="s">
        <v>1481</v>
      </c>
    </row>
    <row r="737" spans="1:2" x14ac:dyDescent="0.4">
      <c r="A737" s="2" t="s">
        <v>1482</v>
      </c>
      <c r="B737" s="2" t="s">
        <v>1483</v>
      </c>
    </row>
    <row r="738" spans="1:2" x14ac:dyDescent="0.4">
      <c r="A738" s="2" t="s">
        <v>1484</v>
      </c>
      <c r="B738" s="2" t="s">
        <v>1485</v>
      </c>
    </row>
    <row r="739" spans="1:2" x14ac:dyDescent="0.4">
      <c r="A739" s="2" t="s">
        <v>1486</v>
      </c>
      <c r="B739" s="2" t="s">
        <v>1487</v>
      </c>
    </row>
    <row r="740" spans="1:2" x14ac:dyDescent="0.4">
      <c r="A740" s="2" t="s">
        <v>1488</v>
      </c>
      <c r="B740" s="2" t="s">
        <v>1489</v>
      </c>
    </row>
    <row r="741" spans="1:2" x14ac:dyDescent="0.4">
      <c r="A741" s="2" t="s">
        <v>1490</v>
      </c>
      <c r="B741" s="2" t="s">
        <v>1491</v>
      </c>
    </row>
    <row r="742" spans="1:2" x14ac:dyDescent="0.4">
      <c r="A742" s="2" t="s">
        <v>1492</v>
      </c>
      <c r="B742" s="2" t="s">
        <v>1493</v>
      </c>
    </row>
    <row r="743" spans="1:2" x14ac:dyDescent="0.4">
      <c r="A743" s="2" t="s">
        <v>1494</v>
      </c>
      <c r="B743" s="2" t="s">
        <v>1495</v>
      </c>
    </row>
    <row r="744" spans="1:2" x14ac:dyDescent="0.4">
      <c r="A744" s="2" t="s">
        <v>1496</v>
      </c>
      <c r="B744" s="2" t="s">
        <v>1497</v>
      </c>
    </row>
    <row r="745" spans="1:2" x14ac:dyDescent="0.4">
      <c r="A745" s="2" t="s">
        <v>1498</v>
      </c>
      <c r="B745" s="2" t="s">
        <v>1499</v>
      </c>
    </row>
    <row r="746" spans="1:2" x14ac:dyDescent="0.4">
      <c r="A746" s="2" t="s">
        <v>1500</v>
      </c>
      <c r="B746" s="2" t="s">
        <v>1501</v>
      </c>
    </row>
    <row r="747" spans="1:2" x14ac:dyDescent="0.4">
      <c r="A747" s="2" t="s">
        <v>1502</v>
      </c>
      <c r="B747" s="2" t="s">
        <v>1503</v>
      </c>
    </row>
    <row r="748" spans="1:2" x14ac:dyDescent="0.4">
      <c r="A748" s="2" t="s">
        <v>1504</v>
      </c>
      <c r="B748" s="2" t="s">
        <v>1505</v>
      </c>
    </row>
    <row r="749" spans="1:2" x14ac:dyDescent="0.4">
      <c r="A749" s="2" t="s">
        <v>1506</v>
      </c>
      <c r="B749" s="2" t="s">
        <v>1507</v>
      </c>
    </row>
    <row r="750" spans="1:2" x14ac:dyDescent="0.4">
      <c r="A750" s="2" t="s">
        <v>1508</v>
      </c>
      <c r="B750" s="2" t="s">
        <v>1509</v>
      </c>
    </row>
    <row r="751" spans="1:2" x14ac:dyDescent="0.4">
      <c r="A751" s="2" t="s">
        <v>1510</v>
      </c>
      <c r="B751" s="2" t="s">
        <v>1511</v>
      </c>
    </row>
    <row r="752" spans="1:2" x14ac:dyDescent="0.4">
      <c r="A752" s="2" t="s">
        <v>1512</v>
      </c>
      <c r="B752" s="2" t="s">
        <v>1513</v>
      </c>
    </row>
    <row r="753" spans="1:2" x14ac:dyDescent="0.4">
      <c r="A753" s="2" t="s">
        <v>1514</v>
      </c>
      <c r="B753" s="2" t="s">
        <v>1515</v>
      </c>
    </row>
    <row r="754" spans="1:2" x14ac:dyDescent="0.4">
      <c r="A754" s="2" t="s">
        <v>1516</v>
      </c>
      <c r="B754" s="2" t="s">
        <v>1517</v>
      </c>
    </row>
    <row r="755" spans="1:2" x14ac:dyDescent="0.4">
      <c r="A755" s="2" t="s">
        <v>1518</v>
      </c>
      <c r="B755" s="2" t="s">
        <v>1519</v>
      </c>
    </row>
    <row r="756" spans="1:2" x14ac:dyDescent="0.4">
      <c r="A756" s="2" t="s">
        <v>1520</v>
      </c>
      <c r="B756" s="2" t="s">
        <v>1521</v>
      </c>
    </row>
    <row r="757" spans="1:2" x14ac:dyDescent="0.4">
      <c r="A757" s="2" t="s">
        <v>1522</v>
      </c>
      <c r="B757" s="2" t="s">
        <v>1523</v>
      </c>
    </row>
    <row r="758" spans="1:2" x14ac:dyDescent="0.4">
      <c r="A758" s="2" t="s">
        <v>1524</v>
      </c>
      <c r="B758" s="2" t="s">
        <v>1525</v>
      </c>
    </row>
    <row r="759" spans="1:2" x14ac:dyDescent="0.4">
      <c r="A759" s="2" t="s">
        <v>1526</v>
      </c>
      <c r="B759" s="2" t="s">
        <v>1527</v>
      </c>
    </row>
    <row r="760" spans="1:2" x14ac:dyDescent="0.4">
      <c r="A760" s="2" t="s">
        <v>1528</v>
      </c>
      <c r="B760" s="2" t="s">
        <v>1529</v>
      </c>
    </row>
    <row r="761" spans="1:2" x14ac:dyDescent="0.4">
      <c r="A761" s="2" t="s">
        <v>1530</v>
      </c>
      <c r="B761" s="2" t="s">
        <v>1531</v>
      </c>
    </row>
    <row r="762" spans="1:2" x14ac:dyDescent="0.4">
      <c r="A762" s="2" t="s">
        <v>1532</v>
      </c>
      <c r="B762" s="2" t="s">
        <v>1533</v>
      </c>
    </row>
    <row r="763" spans="1:2" x14ac:dyDescent="0.4">
      <c r="A763" s="2" t="s">
        <v>1534</v>
      </c>
      <c r="B763" s="2" t="s">
        <v>1535</v>
      </c>
    </row>
    <row r="764" spans="1:2" x14ac:dyDescent="0.4">
      <c r="A764" s="2" t="s">
        <v>1536</v>
      </c>
      <c r="B764" s="2" t="s">
        <v>1537</v>
      </c>
    </row>
    <row r="765" spans="1:2" x14ac:dyDescent="0.4">
      <c r="A765" s="2" t="s">
        <v>1538</v>
      </c>
      <c r="B765" s="2" t="s">
        <v>1539</v>
      </c>
    </row>
    <row r="766" spans="1:2" x14ac:dyDescent="0.4">
      <c r="A766" s="2" t="s">
        <v>1540</v>
      </c>
      <c r="B766" s="2" t="s">
        <v>1541</v>
      </c>
    </row>
    <row r="767" spans="1:2" x14ac:dyDescent="0.4">
      <c r="A767" s="2" t="s">
        <v>1542</v>
      </c>
      <c r="B767" s="2" t="s">
        <v>1543</v>
      </c>
    </row>
    <row r="768" spans="1:2" x14ac:dyDescent="0.4">
      <c r="A768" s="2" t="s">
        <v>1544</v>
      </c>
      <c r="B768" s="2" t="s">
        <v>1545</v>
      </c>
    </row>
    <row r="769" spans="1:2" x14ac:dyDescent="0.4">
      <c r="A769" s="2" t="s">
        <v>1546</v>
      </c>
      <c r="B769" s="2" t="s">
        <v>1547</v>
      </c>
    </row>
    <row r="770" spans="1:2" x14ac:dyDescent="0.4">
      <c r="A770" s="2" t="s">
        <v>8</v>
      </c>
      <c r="B770" s="2" t="s">
        <v>1548</v>
      </c>
    </row>
    <row r="771" spans="1:2" x14ac:dyDescent="0.4">
      <c r="A771" s="2" t="s">
        <v>1549</v>
      </c>
      <c r="B771" s="2" t="s">
        <v>1550</v>
      </c>
    </row>
    <row r="772" spans="1:2" x14ac:dyDescent="0.4">
      <c r="A772" s="2" t="s">
        <v>1551</v>
      </c>
      <c r="B772" s="2" t="s">
        <v>1552</v>
      </c>
    </row>
    <row r="773" spans="1:2" x14ac:dyDescent="0.4">
      <c r="A773" s="2" t="s">
        <v>1553</v>
      </c>
      <c r="B773" s="2" t="s">
        <v>1554</v>
      </c>
    </row>
    <row r="774" spans="1:2" x14ac:dyDescent="0.4">
      <c r="A774" s="2" t="s">
        <v>1555</v>
      </c>
      <c r="B774" s="2" t="s">
        <v>1556</v>
      </c>
    </row>
    <row r="775" spans="1:2" x14ac:dyDescent="0.4">
      <c r="A775" s="2" t="s">
        <v>1557</v>
      </c>
      <c r="B775" s="2" t="s">
        <v>1558</v>
      </c>
    </row>
    <row r="776" spans="1:2" x14ac:dyDescent="0.4">
      <c r="A776" s="2" t="s">
        <v>1559</v>
      </c>
      <c r="B776" s="2" t="s">
        <v>1560</v>
      </c>
    </row>
    <row r="777" spans="1:2" x14ac:dyDescent="0.4">
      <c r="A777" s="2" t="s">
        <v>1561</v>
      </c>
      <c r="B777" s="2" t="s">
        <v>1562</v>
      </c>
    </row>
    <row r="778" spans="1:2" x14ac:dyDescent="0.4">
      <c r="A778" s="2" t="s">
        <v>1563</v>
      </c>
      <c r="B778" s="2" t="s">
        <v>1564</v>
      </c>
    </row>
    <row r="779" spans="1:2" x14ac:dyDescent="0.4">
      <c r="A779" s="2" t="s">
        <v>1565</v>
      </c>
      <c r="B779" s="2" t="s">
        <v>1566</v>
      </c>
    </row>
    <row r="780" spans="1:2" x14ac:dyDescent="0.4">
      <c r="A780" s="2" t="s">
        <v>1567</v>
      </c>
      <c r="B780" s="2" t="s">
        <v>1568</v>
      </c>
    </row>
    <row r="781" spans="1:2" x14ac:dyDescent="0.4">
      <c r="A781" s="2" t="s">
        <v>1569</v>
      </c>
      <c r="B781" s="2" t="s">
        <v>1570</v>
      </c>
    </row>
    <row r="782" spans="1:2" x14ac:dyDescent="0.4">
      <c r="A782" s="2" t="s">
        <v>1571</v>
      </c>
      <c r="B782" s="2" t="s">
        <v>1572</v>
      </c>
    </row>
    <row r="783" spans="1:2" x14ac:dyDescent="0.4">
      <c r="A783" s="2" t="s">
        <v>1573</v>
      </c>
      <c r="B783" s="2" t="s">
        <v>1574</v>
      </c>
    </row>
    <row r="784" spans="1:2" x14ac:dyDescent="0.4">
      <c r="A784" s="2" t="s">
        <v>1575</v>
      </c>
      <c r="B784" s="2" t="s">
        <v>1576</v>
      </c>
    </row>
    <row r="785" spans="1:2" x14ac:dyDescent="0.4">
      <c r="A785" s="2" t="s">
        <v>1577</v>
      </c>
      <c r="B785" s="2" t="s">
        <v>1578</v>
      </c>
    </row>
    <row r="786" spans="1:2" x14ac:dyDescent="0.4">
      <c r="A786" s="2" t="s">
        <v>1579</v>
      </c>
      <c r="B786" s="2" t="s">
        <v>1580</v>
      </c>
    </row>
    <row r="787" spans="1:2" x14ac:dyDescent="0.4">
      <c r="A787" s="2" t="s">
        <v>1581</v>
      </c>
      <c r="B787" s="2" t="s">
        <v>1582</v>
      </c>
    </row>
    <row r="788" spans="1:2" x14ac:dyDescent="0.4">
      <c r="A788" s="2" t="s">
        <v>1583</v>
      </c>
      <c r="B788" s="2" t="s">
        <v>1584</v>
      </c>
    </row>
    <row r="789" spans="1:2" x14ac:dyDescent="0.4">
      <c r="A789" s="2" t="s">
        <v>1585</v>
      </c>
      <c r="B789" s="2" t="s">
        <v>1586</v>
      </c>
    </row>
    <row r="790" spans="1:2" x14ac:dyDescent="0.4">
      <c r="A790" s="2" t="s">
        <v>1587</v>
      </c>
      <c r="B790" s="2" t="s">
        <v>1588</v>
      </c>
    </row>
    <row r="791" spans="1:2" x14ac:dyDescent="0.4">
      <c r="A791" s="2" t="s">
        <v>1589</v>
      </c>
      <c r="B791" s="2" t="s">
        <v>1590</v>
      </c>
    </row>
    <row r="792" spans="1:2" x14ac:dyDescent="0.4">
      <c r="A792" s="2" t="s">
        <v>1591</v>
      </c>
      <c r="B792" s="2" t="s">
        <v>1592</v>
      </c>
    </row>
    <row r="793" spans="1:2" x14ac:dyDescent="0.4">
      <c r="A793" s="2" t="s">
        <v>1593</v>
      </c>
      <c r="B793" s="2" t="s">
        <v>1594</v>
      </c>
    </row>
    <row r="794" spans="1:2" x14ac:dyDescent="0.4">
      <c r="A794" s="2" t="s">
        <v>1595</v>
      </c>
      <c r="B794" s="2" t="s">
        <v>1596</v>
      </c>
    </row>
    <row r="795" spans="1:2" x14ac:dyDescent="0.4">
      <c r="A795" s="2" t="s">
        <v>1597</v>
      </c>
      <c r="B795" s="2" t="s">
        <v>1598</v>
      </c>
    </row>
    <row r="796" spans="1:2" x14ac:dyDescent="0.4">
      <c r="A796" s="2" t="s">
        <v>1599</v>
      </c>
      <c r="B796" s="2" t="s">
        <v>1600</v>
      </c>
    </row>
    <row r="797" spans="1:2" x14ac:dyDescent="0.4">
      <c r="A797" s="2" t="s">
        <v>1601</v>
      </c>
      <c r="B797" s="2" t="s">
        <v>1602</v>
      </c>
    </row>
    <row r="798" spans="1:2" x14ac:dyDescent="0.4">
      <c r="A798" s="2" t="s">
        <v>1603</v>
      </c>
      <c r="B798" s="2" t="s">
        <v>1604</v>
      </c>
    </row>
    <row r="799" spans="1:2" x14ac:dyDescent="0.4">
      <c r="A799" s="2" t="s">
        <v>1605</v>
      </c>
      <c r="B799" s="2" t="s">
        <v>1606</v>
      </c>
    </row>
    <row r="800" spans="1:2" x14ac:dyDescent="0.4">
      <c r="A800" s="2" t="s">
        <v>1607</v>
      </c>
      <c r="B800" s="2" t="s">
        <v>1608</v>
      </c>
    </row>
    <row r="801" spans="1:2" x14ac:dyDescent="0.4">
      <c r="A801" s="2" t="s">
        <v>1609</v>
      </c>
      <c r="B801" s="2" t="s">
        <v>1610</v>
      </c>
    </row>
    <row r="802" spans="1:2" x14ac:dyDescent="0.4">
      <c r="A802" s="2" t="s">
        <v>1611</v>
      </c>
      <c r="B802" s="2" t="s">
        <v>1612</v>
      </c>
    </row>
    <row r="803" spans="1:2" x14ac:dyDescent="0.4">
      <c r="A803" s="2" t="s">
        <v>1613</v>
      </c>
      <c r="B803" s="2" t="s">
        <v>1614</v>
      </c>
    </row>
    <row r="804" spans="1:2" x14ac:dyDescent="0.4">
      <c r="A804" s="2" t="s">
        <v>1615</v>
      </c>
      <c r="B804" s="2" t="s">
        <v>1616</v>
      </c>
    </row>
    <row r="805" spans="1:2" x14ac:dyDescent="0.4">
      <c r="A805" s="2" t="s">
        <v>1617</v>
      </c>
      <c r="B805" s="2" t="s">
        <v>1618</v>
      </c>
    </row>
    <row r="806" spans="1:2" x14ac:dyDescent="0.4">
      <c r="A806" s="2" t="s">
        <v>1619</v>
      </c>
      <c r="B806" s="2" t="s">
        <v>1620</v>
      </c>
    </row>
    <row r="807" spans="1:2" x14ac:dyDescent="0.4">
      <c r="A807" s="2" t="s">
        <v>1621</v>
      </c>
      <c r="B807" s="2" t="s">
        <v>1622</v>
      </c>
    </row>
    <row r="808" spans="1:2" x14ac:dyDescent="0.4">
      <c r="A808" s="2" t="s">
        <v>1623</v>
      </c>
      <c r="B808" s="2" t="s">
        <v>1624</v>
      </c>
    </row>
    <row r="809" spans="1:2" x14ac:dyDescent="0.4">
      <c r="A809" s="2" t="s">
        <v>1625</v>
      </c>
      <c r="B809" s="2" t="s">
        <v>1626</v>
      </c>
    </row>
    <row r="810" spans="1:2" x14ac:dyDescent="0.4">
      <c r="A810" s="2" t="s">
        <v>1627</v>
      </c>
      <c r="B810" s="2" t="s">
        <v>1628</v>
      </c>
    </row>
    <row r="811" spans="1:2" x14ac:dyDescent="0.4">
      <c r="A811" s="2" t="s">
        <v>1629</v>
      </c>
      <c r="B811" s="2" t="s">
        <v>1630</v>
      </c>
    </row>
    <row r="812" spans="1:2" x14ac:dyDescent="0.4">
      <c r="A812" s="2" t="s">
        <v>1631</v>
      </c>
      <c r="B812" s="2" t="s">
        <v>1632</v>
      </c>
    </row>
    <row r="813" spans="1:2" x14ac:dyDescent="0.4">
      <c r="A813" s="2" t="s">
        <v>1633</v>
      </c>
      <c r="B813" s="2" t="s">
        <v>1634</v>
      </c>
    </row>
    <row r="814" spans="1:2" x14ac:dyDescent="0.4">
      <c r="A814" s="2" t="s">
        <v>1635</v>
      </c>
      <c r="B814" s="2" t="s">
        <v>1636</v>
      </c>
    </row>
    <row r="815" spans="1:2" x14ac:dyDescent="0.4">
      <c r="A815" s="2" t="s">
        <v>1637</v>
      </c>
      <c r="B815" s="2" t="s">
        <v>1638</v>
      </c>
    </row>
    <row r="816" spans="1:2" x14ac:dyDescent="0.4">
      <c r="A816" s="2" t="s">
        <v>1639</v>
      </c>
      <c r="B816" s="2" t="s">
        <v>1640</v>
      </c>
    </row>
    <row r="817" spans="1:2" x14ac:dyDescent="0.4">
      <c r="A817" s="2" t="s">
        <v>1641</v>
      </c>
      <c r="B817" s="2" t="s">
        <v>1642</v>
      </c>
    </row>
    <row r="818" spans="1:2" x14ac:dyDescent="0.4">
      <c r="A818" s="2" t="s">
        <v>1643</v>
      </c>
      <c r="B818" s="2" t="s">
        <v>1644</v>
      </c>
    </row>
    <row r="819" spans="1:2" x14ac:dyDescent="0.4">
      <c r="A819" s="2" t="s">
        <v>1645</v>
      </c>
      <c r="B819" s="2" t="s">
        <v>1646</v>
      </c>
    </row>
    <row r="820" spans="1:2" x14ac:dyDescent="0.4">
      <c r="A820" s="2" t="s">
        <v>1647</v>
      </c>
      <c r="B820" s="2" t="s">
        <v>1648</v>
      </c>
    </row>
    <row r="821" spans="1:2" x14ac:dyDescent="0.4">
      <c r="A821" s="2" t="s">
        <v>1649</v>
      </c>
      <c r="B821" s="2" t="s">
        <v>1650</v>
      </c>
    </row>
    <row r="822" spans="1:2" x14ac:dyDescent="0.4">
      <c r="A822" s="2" t="s">
        <v>1651</v>
      </c>
      <c r="B822" s="2" t="s">
        <v>1652</v>
      </c>
    </row>
    <row r="823" spans="1:2" x14ac:dyDescent="0.4">
      <c r="A823" s="2" t="s">
        <v>1653</v>
      </c>
      <c r="B823" s="2" t="s">
        <v>1654</v>
      </c>
    </row>
    <row r="824" spans="1:2" x14ac:dyDescent="0.4">
      <c r="A824" s="2" t="s">
        <v>1655</v>
      </c>
      <c r="B824" s="2" t="s">
        <v>1656</v>
      </c>
    </row>
    <row r="825" spans="1:2" x14ac:dyDescent="0.4">
      <c r="A825" s="2" t="s">
        <v>1657</v>
      </c>
      <c r="B825" s="2" t="s">
        <v>1658</v>
      </c>
    </row>
    <row r="826" spans="1:2" x14ac:dyDescent="0.4">
      <c r="A826" s="2" t="s">
        <v>1659</v>
      </c>
      <c r="B826" s="2" t="s">
        <v>1660</v>
      </c>
    </row>
    <row r="827" spans="1:2" x14ac:dyDescent="0.4">
      <c r="A827" s="2" t="s">
        <v>1661</v>
      </c>
      <c r="B827" s="2" t="s">
        <v>1662</v>
      </c>
    </row>
    <row r="828" spans="1:2" x14ac:dyDescent="0.4">
      <c r="A828" s="2" t="s">
        <v>1663</v>
      </c>
      <c r="B828" s="2" t="s">
        <v>1664</v>
      </c>
    </row>
    <row r="829" spans="1:2" x14ac:dyDescent="0.4">
      <c r="A829" s="2" t="s">
        <v>1665</v>
      </c>
      <c r="B829" s="2" t="s">
        <v>1666</v>
      </c>
    </row>
    <row r="830" spans="1:2" x14ac:dyDescent="0.4">
      <c r="A830" s="2" t="s">
        <v>1667</v>
      </c>
      <c r="B830" s="2" t="s">
        <v>1668</v>
      </c>
    </row>
    <row r="831" spans="1:2" x14ac:dyDescent="0.4">
      <c r="A831" s="2" t="s">
        <v>1669</v>
      </c>
      <c r="B831" s="2" t="s">
        <v>1670</v>
      </c>
    </row>
    <row r="832" spans="1:2" x14ac:dyDescent="0.4">
      <c r="A832" s="2" t="s">
        <v>1671</v>
      </c>
      <c r="B832" s="2" t="s">
        <v>1672</v>
      </c>
    </row>
    <row r="833" spans="1:2" x14ac:dyDescent="0.4">
      <c r="A833" s="2" t="s">
        <v>1673</v>
      </c>
      <c r="B833" s="2" t="s">
        <v>1674</v>
      </c>
    </row>
    <row r="834" spans="1:2" x14ac:dyDescent="0.4">
      <c r="A834" s="2" t="s">
        <v>7</v>
      </c>
      <c r="B834" s="2" t="s">
        <v>1675</v>
      </c>
    </row>
    <row r="835" spans="1:2" x14ac:dyDescent="0.4">
      <c r="A835" s="2" t="s">
        <v>1676</v>
      </c>
      <c r="B835" s="2" t="s">
        <v>1677</v>
      </c>
    </row>
    <row r="836" spans="1:2" x14ac:dyDescent="0.4">
      <c r="A836" s="2" t="s">
        <v>1678</v>
      </c>
      <c r="B836" s="2" t="s">
        <v>1679</v>
      </c>
    </row>
    <row r="837" spans="1:2" x14ac:dyDescent="0.4">
      <c r="A837" s="2" t="s">
        <v>1680</v>
      </c>
      <c r="B837" s="2" t="s">
        <v>1681</v>
      </c>
    </row>
    <row r="838" spans="1:2" x14ac:dyDescent="0.4">
      <c r="A838" s="2" t="s">
        <v>1682</v>
      </c>
      <c r="B838" s="2" t="s">
        <v>1683</v>
      </c>
    </row>
    <row r="839" spans="1:2" x14ac:dyDescent="0.4">
      <c r="A839" s="2" t="s">
        <v>1684</v>
      </c>
      <c r="B839" s="2" t="s">
        <v>1685</v>
      </c>
    </row>
    <row r="840" spans="1:2" x14ac:dyDescent="0.4">
      <c r="A840" s="2" t="s">
        <v>1686</v>
      </c>
      <c r="B840" s="2" t="s">
        <v>1687</v>
      </c>
    </row>
    <row r="841" spans="1:2" x14ac:dyDescent="0.4">
      <c r="A841" s="2" t="s">
        <v>1688</v>
      </c>
      <c r="B841" s="2" t="s">
        <v>1689</v>
      </c>
    </row>
    <row r="842" spans="1:2" x14ac:dyDescent="0.4">
      <c r="A842" s="2" t="s">
        <v>1690</v>
      </c>
      <c r="B842" s="2" t="s">
        <v>1691</v>
      </c>
    </row>
    <row r="843" spans="1:2" x14ac:dyDescent="0.4">
      <c r="A843" s="2" t="s">
        <v>1692</v>
      </c>
      <c r="B843" s="2" t="s">
        <v>1693</v>
      </c>
    </row>
    <row r="844" spans="1:2" x14ac:dyDescent="0.4">
      <c r="A844" s="2" t="s">
        <v>1694</v>
      </c>
      <c r="B844" s="2" t="s">
        <v>1695</v>
      </c>
    </row>
    <row r="845" spans="1:2" x14ac:dyDescent="0.4">
      <c r="A845" s="2" t="s">
        <v>1696</v>
      </c>
      <c r="B845" s="2" t="s">
        <v>1697</v>
      </c>
    </row>
    <row r="846" spans="1:2" x14ac:dyDescent="0.4">
      <c r="A846" s="2" t="s">
        <v>1698</v>
      </c>
      <c r="B846" s="2" t="s">
        <v>1699</v>
      </c>
    </row>
    <row r="847" spans="1:2" x14ac:dyDescent="0.4">
      <c r="A847" s="2" t="s">
        <v>1700</v>
      </c>
      <c r="B847" s="2" t="s">
        <v>1701</v>
      </c>
    </row>
    <row r="848" spans="1:2" x14ac:dyDescent="0.4">
      <c r="A848" s="2" t="s">
        <v>1702</v>
      </c>
      <c r="B848" s="2" t="s">
        <v>1703</v>
      </c>
    </row>
    <row r="849" spans="1:2" x14ac:dyDescent="0.4">
      <c r="A849" s="2" t="s">
        <v>1704</v>
      </c>
      <c r="B849" s="2" t="s">
        <v>1705</v>
      </c>
    </row>
    <row r="850" spans="1:2" x14ac:dyDescent="0.4">
      <c r="A850" s="2" t="s">
        <v>1706</v>
      </c>
      <c r="B850" s="2" t="s">
        <v>1707</v>
      </c>
    </row>
    <row r="851" spans="1:2" x14ac:dyDescent="0.4">
      <c r="A851" s="2" t="s">
        <v>1708</v>
      </c>
      <c r="B851" s="2" t="s">
        <v>1709</v>
      </c>
    </row>
    <row r="852" spans="1:2" x14ac:dyDescent="0.4">
      <c r="A852" s="2" t="s">
        <v>1710</v>
      </c>
      <c r="B852" s="2" t="s">
        <v>1711</v>
      </c>
    </row>
    <row r="853" spans="1:2" x14ac:dyDescent="0.4">
      <c r="A853" s="2" t="s">
        <v>1712</v>
      </c>
      <c r="B853" s="2" t="s">
        <v>1713</v>
      </c>
    </row>
    <row r="854" spans="1:2" x14ac:dyDescent="0.4">
      <c r="A854" s="2" t="s">
        <v>1714</v>
      </c>
      <c r="B854" s="2" t="s">
        <v>1715</v>
      </c>
    </row>
    <row r="855" spans="1:2" x14ac:dyDescent="0.4">
      <c r="A855" s="2" t="s">
        <v>1716</v>
      </c>
      <c r="B855" s="2" t="s">
        <v>1717</v>
      </c>
    </row>
    <row r="856" spans="1:2" x14ac:dyDescent="0.4">
      <c r="A856" s="2" t="s">
        <v>1718</v>
      </c>
      <c r="B856" s="2" t="s">
        <v>1719</v>
      </c>
    </row>
    <row r="857" spans="1:2" x14ac:dyDescent="0.4">
      <c r="A857" s="2" t="s">
        <v>1720</v>
      </c>
      <c r="B857" s="2" t="s">
        <v>1721</v>
      </c>
    </row>
    <row r="858" spans="1:2" x14ac:dyDescent="0.4">
      <c r="A858" s="2" t="s">
        <v>1722</v>
      </c>
      <c r="B858" s="2" t="s">
        <v>1723</v>
      </c>
    </row>
    <row r="859" spans="1:2" x14ac:dyDescent="0.4">
      <c r="A859" s="2" t="s">
        <v>1724</v>
      </c>
      <c r="B859" s="2" t="s">
        <v>1725</v>
      </c>
    </row>
    <row r="860" spans="1:2" x14ac:dyDescent="0.4">
      <c r="A860" s="2" t="s">
        <v>1726</v>
      </c>
      <c r="B860" s="2" t="s">
        <v>1727</v>
      </c>
    </row>
    <row r="861" spans="1:2" x14ac:dyDescent="0.4">
      <c r="A861" s="2" t="s">
        <v>1728</v>
      </c>
      <c r="B861" s="2" t="s">
        <v>1729</v>
      </c>
    </row>
    <row r="862" spans="1:2" x14ac:dyDescent="0.4">
      <c r="A862" s="2" t="s">
        <v>1730</v>
      </c>
      <c r="B862" s="2" t="s">
        <v>1731</v>
      </c>
    </row>
    <row r="863" spans="1:2" x14ac:dyDescent="0.4">
      <c r="A863" s="2" t="s">
        <v>1732</v>
      </c>
      <c r="B863" s="2" t="s">
        <v>1733</v>
      </c>
    </row>
    <row r="864" spans="1:2" x14ac:dyDescent="0.4">
      <c r="A864" s="2" t="s">
        <v>1734</v>
      </c>
      <c r="B864" s="2" t="s">
        <v>1735</v>
      </c>
    </row>
    <row r="865" spans="1:2" x14ac:dyDescent="0.4">
      <c r="A865" s="2" t="s">
        <v>1736</v>
      </c>
      <c r="B865" s="2" t="s">
        <v>1737</v>
      </c>
    </row>
    <row r="866" spans="1:2" x14ac:dyDescent="0.4">
      <c r="A866" s="2" t="s">
        <v>1738</v>
      </c>
      <c r="B866" s="2" t="s">
        <v>1739</v>
      </c>
    </row>
    <row r="867" spans="1:2" x14ac:dyDescent="0.4">
      <c r="A867" s="2" t="s">
        <v>1740</v>
      </c>
      <c r="B867" s="2" t="s">
        <v>1741</v>
      </c>
    </row>
    <row r="868" spans="1:2" x14ac:dyDescent="0.4">
      <c r="A868" s="2" t="s">
        <v>1742</v>
      </c>
      <c r="B868" s="2" t="s">
        <v>1743</v>
      </c>
    </row>
    <row r="869" spans="1:2" x14ac:dyDescent="0.4">
      <c r="A869" s="2" t="s">
        <v>1744</v>
      </c>
      <c r="B869" s="2" t="s">
        <v>1745</v>
      </c>
    </row>
    <row r="870" spans="1:2" x14ac:dyDescent="0.4">
      <c r="A870" s="2" t="s">
        <v>1746</v>
      </c>
      <c r="B870" s="2" t="s">
        <v>1747</v>
      </c>
    </row>
    <row r="871" spans="1:2" x14ac:dyDescent="0.4">
      <c r="A871" s="2" t="s">
        <v>1748</v>
      </c>
      <c r="B871" s="2" t="s">
        <v>1749</v>
      </c>
    </row>
    <row r="872" spans="1:2" x14ac:dyDescent="0.4">
      <c r="A872" s="2" t="s">
        <v>1750</v>
      </c>
      <c r="B872" s="2" t="s">
        <v>1751</v>
      </c>
    </row>
    <row r="873" spans="1:2" x14ac:dyDescent="0.4">
      <c r="A873" s="2" t="s">
        <v>1752</v>
      </c>
      <c r="B873" s="2" t="s">
        <v>1753</v>
      </c>
    </row>
    <row r="874" spans="1:2" x14ac:dyDescent="0.4">
      <c r="A874" s="2" t="s">
        <v>1754</v>
      </c>
      <c r="B874" s="2" t="s">
        <v>1755</v>
      </c>
    </row>
    <row r="875" spans="1:2" x14ac:dyDescent="0.4">
      <c r="A875" s="2" t="s">
        <v>1756</v>
      </c>
      <c r="B875" s="2" t="s">
        <v>1757</v>
      </c>
    </row>
    <row r="876" spans="1:2" x14ac:dyDescent="0.4">
      <c r="A876" s="2" t="s">
        <v>1758</v>
      </c>
      <c r="B876" s="2" t="s">
        <v>1759</v>
      </c>
    </row>
    <row r="877" spans="1:2" x14ac:dyDescent="0.4">
      <c r="A877" s="2" t="s">
        <v>1760</v>
      </c>
      <c r="B877" s="2" t="s">
        <v>1761</v>
      </c>
    </row>
    <row r="878" spans="1:2" x14ac:dyDescent="0.4">
      <c r="A878" s="2" t="s">
        <v>1762</v>
      </c>
      <c r="B878" s="2" t="s">
        <v>1763</v>
      </c>
    </row>
    <row r="879" spans="1:2" x14ac:dyDescent="0.4">
      <c r="A879" s="2" t="s">
        <v>1764</v>
      </c>
      <c r="B879" s="2" t="s">
        <v>1765</v>
      </c>
    </row>
    <row r="880" spans="1:2" x14ac:dyDescent="0.4">
      <c r="A880" s="2" t="s">
        <v>1766</v>
      </c>
      <c r="B880" s="2" t="s">
        <v>1767</v>
      </c>
    </row>
    <row r="881" spans="1:2" x14ac:dyDescent="0.4">
      <c r="A881" s="2" t="s">
        <v>1768</v>
      </c>
      <c r="B881" s="2" t="s">
        <v>1769</v>
      </c>
    </row>
    <row r="882" spans="1:2" x14ac:dyDescent="0.4">
      <c r="A882" s="2" t="s">
        <v>1770</v>
      </c>
      <c r="B882" s="2" t="s">
        <v>1771</v>
      </c>
    </row>
    <row r="883" spans="1:2" x14ac:dyDescent="0.4">
      <c r="A883" s="2" t="s">
        <v>1772</v>
      </c>
      <c r="B883" s="2" t="s">
        <v>1773</v>
      </c>
    </row>
    <row r="884" spans="1:2" x14ac:dyDescent="0.4">
      <c r="A884" s="2" t="s">
        <v>1774</v>
      </c>
      <c r="B884" s="2" t="s">
        <v>1775</v>
      </c>
    </row>
    <row r="885" spans="1:2" x14ac:dyDescent="0.4">
      <c r="A885" s="2" t="s">
        <v>1776</v>
      </c>
      <c r="B885" s="2" t="s">
        <v>1777</v>
      </c>
    </row>
    <row r="886" spans="1:2" x14ac:dyDescent="0.4">
      <c r="A886" s="2" t="s">
        <v>1778</v>
      </c>
      <c r="B886" s="2" t="s">
        <v>1779</v>
      </c>
    </row>
    <row r="887" spans="1:2" x14ac:dyDescent="0.4">
      <c r="A887" s="2" t="s">
        <v>6</v>
      </c>
      <c r="B887" s="2" t="s">
        <v>1780</v>
      </c>
    </row>
    <row r="888" spans="1:2" x14ac:dyDescent="0.4">
      <c r="A888" s="2" t="s">
        <v>1781</v>
      </c>
      <c r="B888" s="2" t="s">
        <v>1782</v>
      </c>
    </row>
    <row r="889" spans="1:2" x14ac:dyDescent="0.4">
      <c r="A889" s="2" t="s">
        <v>1783</v>
      </c>
      <c r="B889" s="2" t="s">
        <v>1784</v>
      </c>
    </row>
    <row r="890" spans="1:2" x14ac:dyDescent="0.4">
      <c r="A890" s="2" t="s">
        <v>1785</v>
      </c>
      <c r="B890" s="2" t="s">
        <v>1786</v>
      </c>
    </row>
    <row r="891" spans="1:2" x14ac:dyDescent="0.4">
      <c r="A891" s="2" t="s">
        <v>1787</v>
      </c>
      <c r="B891" s="2" t="s">
        <v>1788</v>
      </c>
    </row>
    <row r="892" spans="1:2" x14ac:dyDescent="0.4">
      <c r="A892" s="2" t="s">
        <v>1789</v>
      </c>
      <c r="B892" s="2" t="s">
        <v>1790</v>
      </c>
    </row>
    <row r="893" spans="1:2" x14ac:dyDescent="0.4">
      <c r="A893" s="2" t="s">
        <v>1791</v>
      </c>
      <c r="B893" s="2" t="s">
        <v>1792</v>
      </c>
    </row>
    <row r="894" spans="1:2" x14ac:dyDescent="0.4">
      <c r="A894" s="2" t="s">
        <v>1793</v>
      </c>
      <c r="B894" s="2" t="s">
        <v>1794</v>
      </c>
    </row>
    <row r="895" spans="1:2" x14ac:dyDescent="0.4">
      <c r="A895" s="2" t="s">
        <v>1795</v>
      </c>
      <c r="B895" s="2" t="s">
        <v>1796</v>
      </c>
    </row>
    <row r="896" spans="1:2" x14ac:dyDescent="0.4">
      <c r="A896" s="2" t="s">
        <v>1797</v>
      </c>
      <c r="B896" s="2" t="s">
        <v>1798</v>
      </c>
    </row>
    <row r="897" spans="1:2" x14ac:dyDescent="0.4">
      <c r="A897" s="2" t="s">
        <v>1799</v>
      </c>
      <c r="B897" s="2" t="s">
        <v>1800</v>
      </c>
    </row>
    <row r="898" spans="1:2" x14ac:dyDescent="0.4">
      <c r="A898" s="2" t="s">
        <v>1801</v>
      </c>
      <c r="B898" s="2" t="s">
        <v>1802</v>
      </c>
    </row>
    <row r="899" spans="1:2" x14ac:dyDescent="0.4">
      <c r="A899" s="2" t="s">
        <v>1803</v>
      </c>
      <c r="B899" s="2" t="s">
        <v>1804</v>
      </c>
    </row>
    <row r="900" spans="1:2" x14ac:dyDescent="0.4">
      <c r="A900" s="2" t="s">
        <v>1805</v>
      </c>
      <c r="B900" s="2" t="s">
        <v>1806</v>
      </c>
    </row>
    <row r="901" spans="1:2" x14ac:dyDescent="0.4">
      <c r="A901" s="2" t="s">
        <v>1807</v>
      </c>
      <c r="B901" s="2" t="s">
        <v>1808</v>
      </c>
    </row>
    <row r="902" spans="1:2" x14ac:dyDescent="0.4">
      <c r="A902" s="2" t="s">
        <v>1809</v>
      </c>
      <c r="B902" s="2" t="s">
        <v>1810</v>
      </c>
    </row>
    <row r="903" spans="1:2" x14ac:dyDescent="0.4">
      <c r="A903" s="2" t="s">
        <v>1811</v>
      </c>
      <c r="B903" s="2" t="s">
        <v>1812</v>
      </c>
    </row>
    <row r="904" spans="1:2" x14ac:dyDescent="0.4">
      <c r="A904" s="2" t="s">
        <v>1813</v>
      </c>
      <c r="B904" s="2" t="s">
        <v>1814</v>
      </c>
    </row>
    <row r="905" spans="1:2" x14ac:dyDescent="0.4">
      <c r="A905" s="2" t="s">
        <v>1815</v>
      </c>
      <c r="B905" s="2" t="s">
        <v>1816</v>
      </c>
    </row>
    <row r="906" spans="1:2" x14ac:dyDescent="0.4">
      <c r="A906" s="2" t="s">
        <v>1817</v>
      </c>
      <c r="B906" s="2" t="s">
        <v>1818</v>
      </c>
    </row>
    <row r="907" spans="1:2" x14ac:dyDescent="0.4">
      <c r="A907" s="2" t="s">
        <v>1819</v>
      </c>
      <c r="B907" s="2" t="s">
        <v>1820</v>
      </c>
    </row>
    <row r="908" spans="1:2" x14ac:dyDescent="0.4">
      <c r="A908" s="2" t="s">
        <v>1821</v>
      </c>
      <c r="B908" s="2" t="s">
        <v>1822</v>
      </c>
    </row>
    <row r="909" spans="1:2" x14ac:dyDescent="0.4">
      <c r="A909" s="2" t="s">
        <v>1823</v>
      </c>
      <c r="B909" s="2" t="s">
        <v>1824</v>
      </c>
    </row>
    <row r="910" spans="1:2" x14ac:dyDescent="0.4">
      <c r="A910" s="2" t="s">
        <v>1825</v>
      </c>
      <c r="B910" s="2" t="s">
        <v>1826</v>
      </c>
    </row>
    <row r="911" spans="1:2" x14ac:dyDescent="0.4">
      <c r="A911" s="2" t="s">
        <v>1827</v>
      </c>
      <c r="B911" s="2" t="s">
        <v>1828</v>
      </c>
    </row>
    <row r="912" spans="1:2" x14ac:dyDescent="0.4">
      <c r="A912" s="2" t="s">
        <v>1829</v>
      </c>
      <c r="B912" s="2" t="s">
        <v>1830</v>
      </c>
    </row>
    <row r="913" spans="1:2" x14ac:dyDescent="0.4">
      <c r="A913" s="2" t="s">
        <v>1831</v>
      </c>
      <c r="B913" s="2" t="s">
        <v>1832</v>
      </c>
    </row>
    <row r="914" spans="1:2" x14ac:dyDescent="0.4">
      <c r="A914" s="2" t="s">
        <v>1833</v>
      </c>
      <c r="B914" s="2" t="s">
        <v>1834</v>
      </c>
    </row>
    <row r="915" spans="1:2" x14ac:dyDescent="0.4">
      <c r="A915" s="2" t="s">
        <v>1835</v>
      </c>
      <c r="B915" s="2" t="s">
        <v>1836</v>
      </c>
    </row>
    <row r="916" spans="1:2" x14ac:dyDescent="0.4">
      <c r="A916" s="2" t="s">
        <v>1837</v>
      </c>
      <c r="B916" s="2" t="s">
        <v>1838</v>
      </c>
    </row>
    <row r="917" spans="1:2" x14ac:dyDescent="0.4">
      <c r="A917" s="2" t="s">
        <v>1839</v>
      </c>
      <c r="B917" s="2" t="s">
        <v>1840</v>
      </c>
    </row>
    <row r="918" spans="1:2" x14ac:dyDescent="0.4">
      <c r="A918" s="2" t="s">
        <v>1841</v>
      </c>
      <c r="B918" s="2" t="s">
        <v>1842</v>
      </c>
    </row>
    <row r="919" spans="1:2" x14ac:dyDescent="0.4">
      <c r="A919" s="2" t="s">
        <v>1843</v>
      </c>
      <c r="B919" s="2" t="s">
        <v>1844</v>
      </c>
    </row>
    <row r="920" spans="1:2" x14ac:dyDescent="0.4">
      <c r="A920" s="2" t="s">
        <v>1845</v>
      </c>
      <c r="B920" s="2" t="s">
        <v>1846</v>
      </c>
    </row>
    <row r="921" spans="1:2" x14ac:dyDescent="0.4">
      <c r="A921" s="2" t="s">
        <v>1847</v>
      </c>
      <c r="B921" s="2" t="s">
        <v>1848</v>
      </c>
    </row>
    <row r="922" spans="1:2" x14ac:dyDescent="0.4">
      <c r="A922" s="2" t="s">
        <v>1849</v>
      </c>
      <c r="B922" s="2" t="s">
        <v>1850</v>
      </c>
    </row>
    <row r="923" spans="1:2" x14ac:dyDescent="0.4">
      <c r="A923" s="2" t="s">
        <v>1851</v>
      </c>
      <c r="B923" s="2" t="s">
        <v>1852</v>
      </c>
    </row>
    <row r="924" spans="1:2" x14ac:dyDescent="0.4">
      <c r="A924" s="2" t="s">
        <v>1853</v>
      </c>
      <c r="B924" s="2" t="s">
        <v>1854</v>
      </c>
    </row>
    <row r="925" spans="1:2" x14ac:dyDescent="0.4">
      <c r="A925" s="2" t="s">
        <v>1855</v>
      </c>
      <c r="B925" s="2" t="s">
        <v>1856</v>
      </c>
    </row>
    <row r="926" spans="1:2" x14ac:dyDescent="0.4">
      <c r="A926" s="2" t="s">
        <v>1857</v>
      </c>
      <c r="B926" s="2" t="s">
        <v>1858</v>
      </c>
    </row>
    <row r="927" spans="1:2" x14ac:dyDescent="0.4">
      <c r="A927" s="2" t="s">
        <v>1859</v>
      </c>
      <c r="B927" s="2" t="s">
        <v>1860</v>
      </c>
    </row>
    <row r="928" spans="1:2" x14ac:dyDescent="0.4">
      <c r="A928" s="2" t="s">
        <v>1861</v>
      </c>
      <c r="B928" s="2" t="s">
        <v>1862</v>
      </c>
    </row>
    <row r="929" spans="1:2" x14ac:dyDescent="0.4">
      <c r="A929" s="2" t="s">
        <v>1863</v>
      </c>
      <c r="B929" s="2" t="s">
        <v>1864</v>
      </c>
    </row>
    <row r="930" spans="1:2" x14ac:dyDescent="0.4">
      <c r="A930" s="2" t="s">
        <v>1865</v>
      </c>
      <c r="B930" s="2" t="s">
        <v>1866</v>
      </c>
    </row>
    <row r="931" spans="1:2" x14ac:dyDescent="0.4">
      <c r="A931" s="2" t="s">
        <v>1867</v>
      </c>
      <c r="B931" s="2" t="s">
        <v>1868</v>
      </c>
    </row>
    <row r="932" spans="1:2" x14ac:dyDescent="0.4">
      <c r="A932" s="2" t="s">
        <v>1869</v>
      </c>
      <c r="B932" s="2" t="s">
        <v>1870</v>
      </c>
    </row>
    <row r="933" spans="1:2" x14ac:dyDescent="0.4">
      <c r="A933" s="2" t="s">
        <v>1871</v>
      </c>
      <c r="B933" s="2" t="s">
        <v>1872</v>
      </c>
    </row>
    <row r="934" spans="1:2" x14ac:dyDescent="0.4">
      <c r="A934" s="2" t="s">
        <v>1873</v>
      </c>
      <c r="B934" s="2" t="s">
        <v>1874</v>
      </c>
    </row>
    <row r="935" spans="1:2" x14ac:dyDescent="0.4">
      <c r="A935" s="2" t="s">
        <v>1875</v>
      </c>
      <c r="B935" s="2" t="s">
        <v>1876</v>
      </c>
    </row>
    <row r="936" spans="1:2" x14ac:dyDescent="0.4">
      <c r="A936" s="2" t="s">
        <v>1877</v>
      </c>
      <c r="B936" s="2" t="s">
        <v>1878</v>
      </c>
    </row>
    <row r="937" spans="1:2" x14ac:dyDescent="0.4">
      <c r="A937" s="2" t="s">
        <v>1879</v>
      </c>
      <c r="B937" s="2" t="s">
        <v>1880</v>
      </c>
    </row>
    <row r="938" spans="1:2" x14ac:dyDescent="0.4">
      <c r="A938" s="2" t="s">
        <v>1881</v>
      </c>
      <c r="B938" s="2" t="s">
        <v>1882</v>
      </c>
    </row>
    <row r="939" spans="1:2" x14ac:dyDescent="0.4">
      <c r="A939" s="2" t="s">
        <v>1883</v>
      </c>
      <c r="B939" s="2" t="s">
        <v>1884</v>
      </c>
    </row>
    <row r="940" spans="1:2" x14ac:dyDescent="0.4">
      <c r="A940" s="2" t="s">
        <v>1885</v>
      </c>
      <c r="B940" s="2" t="s">
        <v>1886</v>
      </c>
    </row>
    <row r="941" spans="1:2" x14ac:dyDescent="0.4">
      <c r="A941" s="2" t="s">
        <v>1887</v>
      </c>
      <c r="B941" s="2" t="s">
        <v>1888</v>
      </c>
    </row>
    <row r="942" spans="1:2" x14ac:dyDescent="0.4">
      <c r="A942" s="2" t="s">
        <v>1889</v>
      </c>
      <c r="B942" s="2" t="s">
        <v>1890</v>
      </c>
    </row>
    <row r="943" spans="1:2" x14ac:dyDescent="0.4">
      <c r="A943" s="2" t="s">
        <v>1891</v>
      </c>
      <c r="B943" s="2" t="s">
        <v>1892</v>
      </c>
    </row>
    <row r="944" spans="1:2" x14ac:dyDescent="0.4">
      <c r="A944" s="2" t="s">
        <v>1893</v>
      </c>
      <c r="B944" s="2" t="s">
        <v>1894</v>
      </c>
    </row>
    <row r="945" spans="1:2" x14ac:dyDescent="0.4">
      <c r="A945" s="2" t="s">
        <v>1895</v>
      </c>
      <c r="B945" s="2" t="s">
        <v>1896</v>
      </c>
    </row>
    <row r="946" spans="1:2" x14ac:dyDescent="0.4">
      <c r="A946" s="2" t="s">
        <v>1897</v>
      </c>
      <c r="B946" s="2" t="s">
        <v>1898</v>
      </c>
    </row>
    <row r="947" spans="1:2" x14ac:dyDescent="0.4">
      <c r="A947" s="2" t="s">
        <v>1899</v>
      </c>
      <c r="B947" s="2" t="s">
        <v>1900</v>
      </c>
    </row>
    <row r="948" spans="1:2" x14ac:dyDescent="0.4">
      <c r="A948" s="2" t="s">
        <v>1901</v>
      </c>
      <c r="B948" s="2" t="s">
        <v>1902</v>
      </c>
    </row>
    <row r="949" spans="1:2" x14ac:dyDescent="0.4">
      <c r="A949" s="2" t="s">
        <v>1903</v>
      </c>
      <c r="B949" s="2" t="s">
        <v>1904</v>
      </c>
    </row>
    <row r="950" spans="1:2" x14ac:dyDescent="0.4">
      <c r="A950" s="2" t="s">
        <v>1905</v>
      </c>
      <c r="B950" s="2" t="s">
        <v>1906</v>
      </c>
    </row>
    <row r="951" spans="1:2" x14ac:dyDescent="0.4">
      <c r="A951" s="2" t="s">
        <v>1907</v>
      </c>
      <c r="B951" s="2" t="s">
        <v>1908</v>
      </c>
    </row>
    <row r="952" spans="1:2" x14ac:dyDescent="0.4">
      <c r="A952" s="2" t="s">
        <v>1909</v>
      </c>
      <c r="B952" s="2" t="s">
        <v>1910</v>
      </c>
    </row>
    <row r="953" spans="1:2" x14ac:dyDescent="0.4">
      <c r="A953" s="2" t="s">
        <v>1911</v>
      </c>
      <c r="B953" s="2" t="s">
        <v>1912</v>
      </c>
    </row>
    <row r="954" spans="1:2" x14ac:dyDescent="0.4">
      <c r="A954" s="2" t="s">
        <v>1913</v>
      </c>
      <c r="B954" s="2" t="s">
        <v>1914</v>
      </c>
    </row>
    <row r="955" spans="1:2" x14ac:dyDescent="0.4">
      <c r="A955" s="2" t="s">
        <v>1915</v>
      </c>
      <c r="B955" s="2" t="s">
        <v>1916</v>
      </c>
    </row>
    <row r="956" spans="1:2" x14ac:dyDescent="0.4">
      <c r="A956" s="2" t="s">
        <v>1917</v>
      </c>
      <c r="B956" s="2" t="s">
        <v>1918</v>
      </c>
    </row>
    <row r="957" spans="1:2" x14ac:dyDescent="0.4">
      <c r="A957" s="2" t="s">
        <v>1919</v>
      </c>
      <c r="B957" s="2" t="s">
        <v>1920</v>
      </c>
    </row>
    <row r="958" spans="1:2" x14ac:dyDescent="0.4">
      <c r="A958" s="2" t="s">
        <v>1921</v>
      </c>
      <c r="B958" s="2" t="s">
        <v>1922</v>
      </c>
    </row>
    <row r="959" spans="1:2" x14ac:dyDescent="0.4">
      <c r="A959" s="2" t="s">
        <v>1923</v>
      </c>
      <c r="B959" s="2" t="s">
        <v>1924</v>
      </c>
    </row>
    <row r="960" spans="1:2" x14ac:dyDescent="0.4">
      <c r="A960" s="2" t="s">
        <v>1925</v>
      </c>
      <c r="B960" s="2" t="s">
        <v>1926</v>
      </c>
    </row>
    <row r="961" spans="1:2" x14ac:dyDescent="0.4">
      <c r="A961" s="2" t="s">
        <v>1927</v>
      </c>
      <c r="B961" s="2" t="s">
        <v>1928</v>
      </c>
    </row>
    <row r="962" spans="1:2" x14ac:dyDescent="0.4">
      <c r="A962" s="2" t="s">
        <v>1929</v>
      </c>
      <c r="B962" s="2" t="s">
        <v>1930</v>
      </c>
    </row>
    <row r="963" spans="1:2" x14ac:dyDescent="0.4">
      <c r="A963" s="2" t="s">
        <v>1931</v>
      </c>
      <c r="B963" s="2" t="s">
        <v>1932</v>
      </c>
    </row>
    <row r="964" spans="1:2" x14ac:dyDescent="0.4">
      <c r="A964" s="2" t="s">
        <v>1933</v>
      </c>
      <c r="B964" s="2" t="s">
        <v>1934</v>
      </c>
    </row>
    <row r="965" spans="1:2" x14ac:dyDescent="0.4">
      <c r="A965" s="2" t="s">
        <v>1935</v>
      </c>
      <c r="B965" s="2" t="s">
        <v>1936</v>
      </c>
    </row>
    <row r="966" spans="1:2" x14ac:dyDescent="0.4">
      <c r="A966" s="2" t="s">
        <v>1937</v>
      </c>
      <c r="B966" s="2" t="s">
        <v>1938</v>
      </c>
    </row>
    <row r="967" spans="1:2" x14ac:dyDescent="0.4">
      <c r="A967" s="2" t="s">
        <v>1939</v>
      </c>
      <c r="B967" s="2" t="s">
        <v>1940</v>
      </c>
    </row>
    <row r="968" spans="1:2" x14ac:dyDescent="0.4">
      <c r="A968" s="2" t="s">
        <v>1941</v>
      </c>
      <c r="B968" s="2" t="s">
        <v>1942</v>
      </c>
    </row>
    <row r="969" spans="1:2" x14ac:dyDescent="0.4">
      <c r="A969" s="2" t="s">
        <v>1943</v>
      </c>
      <c r="B969" s="2" t="s">
        <v>1944</v>
      </c>
    </row>
    <row r="970" spans="1:2" x14ac:dyDescent="0.4">
      <c r="A970" s="2" t="s">
        <v>1945</v>
      </c>
      <c r="B970" s="2" t="s">
        <v>1946</v>
      </c>
    </row>
    <row r="971" spans="1:2" x14ac:dyDescent="0.4">
      <c r="A971" s="2" t="s">
        <v>1947</v>
      </c>
      <c r="B971" s="2" t="s">
        <v>1948</v>
      </c>
    </row>
    <row r="972" spans="1:2" x14ac:dyDescent="0.4">
      <c r="A972" s="2" t="s">
        <v>1949</v>
      </c>
      <c r="B972" s="2" t="s">
        <v>1950</v>
      </c>
    </row>
    <row r="973" spans="1:2" x14ac:dyDescent="0.4">
      <c r="A973" s="2" t="s">
        <v>1951</v>
      </c>
      <c r="B973" s="2" t="s">
        <v>1952</v>
      </c>
    </row>
    <row r="974" spans="1:2" x14ac:dyDescent="0.4">
      <c r="A974" s="2" t="s">
        <v>1953</v>
      </c>
      <c r="B974" s="2" t="s">
        <v>1954</v>
      </c>
    </row>
    <row r="975" spans="1:2" x14ac:dyDescent="0.4">
      <c r="A975" s="2" t="s">
        <v>1955</v>
      </c>
      <c r="B975" s="2" t="s">
        <v>1956</v>
      </c>
    </row>
    <row r="976" spans="1:2" x14ac:dyDescent="0.4">
      <c r="A976" s="2" t="s">
        <v>1957</v>
      </c>
      <c r="B976" s="2" t="s">
        <v>1958</v>
      </c>
    </row>
    <row r="977" spans="1:2" x14ac:dyDescent="0.4">
      <c r="A977" s="2" t="s">
        <v>1959</v>
      </c>
      <c r="B977" s="2" t="s">
        <v>1960</v>
      </c>
    </row>
    <row r="978" spans="1:2" x14ac:dyDescent="0.4">
      <c r="A978" s="2" t="s">
        <v>1961</v>
      </c>
      <c r="B978" s="2" t="s">
        <v>1962</v>
      </c>
    </row>
    <row r="979" spans="1:2" x14ac:dyDescent="0.4">
      <c r="A979" s="2" t="s">
        <v>1963</v>
      </c>
      <c r="B979" s="2" t="s">
        <v>1964</v>
      </c>
    </row>
    <row r="980" spans="1:2" x14ac:dyDescent="0.4">
      <c r="A980" s="2" t="s">
        <v>1965</v>
      </c>
      <c r="B980" s="2" t="s">
        <v>1966</v>
      </c>
    </row>
    <row r="981" spans="1:2" x14ac:dyDescent="0.4">
      <c r="A981" s="2" t="s">
        <v>1967</v>
      </c>
      <c r="B981" s="2" t="s">
        <v>1968</v>
      </c>
    </row>
    <row r="982" spans="1:2" x14ac:dyDescent="0.4">
      <c r="A982" s="2" t="s">
        <v>1969</v>
      </c>
      <c r="B982" s="2" t="s">
        <v>1970</v>
      </c>
    </row>
    <row r="983" spans="1:2" x14ac:dyDescent="0.4">
      <c r="A983" s="2" t="s">
        <v>1971</v>
      </c>
      <c r="B983" s="2" t="s">
        <v>1972</v>
      </c>
    </row>
    <row r="984" spans="1:2" x14ac:dyDescent="0.4">
      <c r="A984" s="2" t="s">
        <v>1973</v>
      </c>
      <c r="B984" s="2" t="s">
        <v>1974</v>
      </c>
    </row>
    <row r="985" spans="1:2" x14ac:dyDescent="0.4">
      <c r="A985" s="2" t="s">
        <v>1975</v>
      </c>
      <c r="B985" s="2" t="s">
        <v>1976</v>
      </c>
    </row>
    <row r="986" spans="1:2" x14ac:dyDescent="0.4">
      <c r="A986" s="2" t="s">
        <v>1977</v>
      </c>
      <c r="B986" s="2" t="s">
        <v>1978</v>
      </c>
    </row>
    <row r="987" spans="1:2" x14ac:dyDescent="0.4">
      <c r="A987" s="2" t="s">
        <v>1979</v>
      </c>
      <c r="B987" s="2" t="s">
        <v>1980</v>
      </c>
    </row>
    <row r="988" spans="1:2" x14ac:dyDescent="0.4">
      <c r="A988" s="2" t="s">
        <v>1981</v>
      </c>
      <c r="B988" s="2" t="s">
        <v>1982</v>
      </c>
    </row>
    <row r="989" spans="1:2" x14ac:dyDescent="0.4">
      <c r="A989" s="2" t="s">
        <v>1983</v>
      </c>
      <c r="B989" s="2" t="s">
        <v>1984</v>
      </c>
    </row>
    <row r="990" spans="1:2" x14ac:dyDescent="0.4">
      <c r="A990" s="2" t="s">
        <v>1985</v>
      </c>
      <c r="B990" s="2" t="s">
        <v>1986</v>
      </c>
    </row>
    <row r="991" spans="1:2" x14ac:dyDescent="0.4">
      <c r="A991" s="2" t="s">
        <v>1987</v>
      </c>
      <c r="B991" s="2" t="s">
        <v>1988</v>
      </c>
    </row>
    <row r="992" spans="1:2" x14ac:dyDescent="0.4">
      <c r="A992" s="2" t="s">
        <v>1989</v>
      </c>
      <c r="B992" s="2" t="s">
        <v>1990</v>
      </c>
    </row>
    <row r="993" spans="1:2" x14ac:dyDescent="0.4">
      <c r="A993" s="2" t="s">
        <v>1991</v>
      </c>
      <c r="B993" s="2" t="s">
        <v>1992</v>
      </c>
    </row>
    <row r="994" spans="1:2" x14ac:dyDescent="0.4">
      <c r="A994" s="2" t="s">
        <v>1993</v>
      </c>
      <c r="B994" s="2" t="s">
        <v>1994</v>
      </c>
    </row>
    <row r="995" spans="1:2" x14ac:dyDescent="0.4">
      <c r="A995" s="2" t="s">
        <v>1995</v>
      </c>
      <c r="B995" s="2" t="s">
        <v>1996</v>
      </c>
    </row>
    <row r="996" spans="1:2" x14ac:dyDescent="0.4">
      <c r="A996" s="2" t="s">
        <v>1997</v>
      </c>
      <c r="B996" s="2" t="s">
        <v>1998</v>
      </c>
    </row>
    <row r="997" spans="1:2" x14ac:dyDescent="0.4">
      <c r="A997" s="2" t="s">
        <v>1999</v>
      </c>
      <c r="B997" s="2" t="s">
        <v>2000</v>
      </c>
    </row>
    <row r="998" spans="1:2" x14ac:dyDescent="0.4">
      <c r="A998" s="2" t="s">
        <v>2001</v>
      </c>
      <c r="B998" s="2" t="s">
        <v>2002</v>
      </c>
    </row>
    <row r="999" spans="1:2" x14ac:dyDescent="0.4">
      <c r="A999" s="2" t="s">
        <v>2003</v>
      </c>
      <c r="B999" s="2" t="s">
        <v>2004</v>
      </c>
    </row>
    <row r="1000" spans="1:2" x14ac:dyDescent="0.4">
      <c r="A1000" s="2" t="s">
        <v>2005</v>
      </c>
      <c r="B1000" s="2" t="s">
        <v>2006</v>
      </c>
    </row>
    <row r="1001" spans="1:2" x14ac:dyDescent="0.4">
      <c r="A1001" s="2" t="s">
        <v>2007</v>
      </c>
      <c r="B1001" s="2" t="s">
        <v>2008</v>
      </c>
    </row>
    <row r="1002" spans="1:2" x14ac:dyDescent="0.4">
      <c r="A1002" s="2" t="s">
        <v>2009</v>
      </c>
      <c r="B1002" s="2" t="s">
        <v>2010</v>
      </c>
    </row>
    <row r="1003" spans="1:2" x14ac:dyDescent="0.4">
      <c r="A1003" s="2" t="s">
        <v>2011</v>
      </c>
      <c r="B1003" s="2" t="s">
        <v>2012</v>
      </c>
    </row>
    <row r="1004" spans="1:2" x14ac:dyDescent="0.4">
      <c r="A1004" s="2" t="s">
        <v>2013</v>
      </c>
      <c r="B1004" s="2" t="s">
        <v>2014</v>
      </c>
    </row>
    <row r="1005" spans="1:2" x14ac:dyDescent="0.4">
      <c r="A1005" s="2" t="s">
        <v>2015</v>
      </c>
      <c r="B1005" s="2" t="s">
        <v>2016</v>
      </c>
    </row>
    <row r="1006" spans="1:2" x14ac:dyDescent="0.4">
      <c r="A1006" s="2" t="s">
        <v>2017</v>
      </c>
      <c r="B1006" s="2" t="s">
        <v>2018</v>
      </c>
    </row>
    <row r="1007" spans="1:2" x14ac:dyDescent="0.4">
      <c r="A1007" s="2" t="s">
        <v>2019</v>
      </c>
      <c r="B1007" s="2" t="s">
        <v>2020</v>
      </c>
    </row>
    <row r="1008" spans="1:2" x14ac:dyDescent="0.4">
      <c r="A1008" s="2" t="s">
        <v>2021</v>
      </c>
      <c r="B1008" s="2" t="s">
        <v>2022</v>
      </c>
    </row>
    <row r="1009" spans="1:2" x14ac:dyDescent="0.4">
      <c r="A1009" s="2" t="s">
        <v>2023</v>
      </c>
      <c r="B1009" s="2" t="s">
        <v>2024</v>
      </c>
    </row>
    <row r="1010" spans="1:2" x14ac:dyDescent="0.4">
      <c r="A1010" s="2" t="s">
        <v>2025</v>
      </c>
      <c r="B1010" s="2" t="s">
        <v>2026</v>
      </c>
    </row>
    <row r="1011" spans="1:2" x14ac:dyDescent="0.4">
      <c r="A1011" s="2" t="s">
        <v>2027</v>
      </c>
      <c r="B1011" s="2" t="s">
        <v>2028</v>
      </c>
    </row>
    <row r="1012" spans="1:2" x14ac:dyDescent="0.4">
      <c r="A1012" s="2" t="s">
        <v>2029</v>
      </c>
      <c r="B1012" s="2" t="s">
        <v>2030</v>
      </c>
    </row>
    <row r="1013" spans="1:2" x14ac:dyDescent="0.4">
      <c r="A1013" s="2" t="s">
        <v>2031</v>
      </c>
      <c r="B1013" s="2" t="s">
        <v>2032</v>
      </c>
    </row>
    <row r="1014" spans="1:2" x14ac:dyDescent="0.4">
      <c r="A1014" s="2" t="s">
        <v>2033</v>
      </c>
      <c r="B1014" s="2" t="s">
        <v>2034</v>
      </c>
    </row>
    <row r="1015" spans="1:2" x14ac:dyDescent="0.4">
      <c r="A1015" s="2" t="s">
        <v>2035</v>
      </c>
      <c r="B1015" s="2" t="s">
        <v>2036</v>
      </c>
    </row>
    <row r="1016" spans="1:2" x14ac:dyDescent="0.4">
      <c r="A1016" s="2" t="s">
        <v>2037</v>
      </c>
      <c r="B1016" s="2" t="s">
        <v>2038</v>
      </c>
    </row>
    <row r="1017" spans="1:2" x14ac:dyDescent="0.4">
      <c r="A1017" s="2" t="s">
        <v>2039</v>
      </c>
      <c r="B1017" s="2" t="s">
        <v>2040</v>
      </c>
    </row>
    <row r="1018" spans="1:2" x14ac:dyDescent="0.4">
      <c r="A1018" s="2" t="s">
        <v>2041</v>
      </c>
      <c r="B1018" s="2" t="s">
        <v>2042</v>
      </c>
    </row>
    <row r="1019" spans="1:2" x14ac:dyDescent="0.4">
      <c r="A1019" s="2" t="s">
        <v>2043</v>
      </c>
      <c r="B1019" s="2" t="s">
        <v>2044</v>
      </c>
    </row>
    <row r="1020" spans="1:2" x14ac:dyDescent="0.4">
      <c r="A1020" s="2" t="s">
        <v>2045</v>
      </c>
      <c r="B1020" s="2" t="s">
        <v>2046</v>
      </c>
    </row>
    <row r="1021" spans="1:2" x14ac:dyDescent="0.4">
      <c r="A1021" s="2" t="s">
        <v>2047</v>
      </c>
      <c r="B1021" s="2" t="s">
        <v>2048</v>
      </c>
    </row>
    <row r="1022" spans="1:2" x14ac:dyDescent="0.4">
      <c r="A1022" s="2" t="s">
        <v>2049</v>
      </c>
      <c r="B1022" s="2" t="s">
        <v>2050</v>
      </c>
    </row>
    <row r="1023" spans="1:2" x14ac:dyDescent="0.4">
      <c r="A1023" s="2" t="s">
        <v>2051</v>
      </c>
      <c r="B1023" s="2" t="s">
        <v>2052</v>
      </c>
    </row>
    <row r="1024" spans="1:2" x14ac:dyDescent="0.4">
      <c r="A1024" s="2" t="s">
        <v>2053</v>
      </c>
      <c r="B1024" s="2" t="s">
        <v>2054</v>
      </c>
    </row>
    <row r="1025" spans="1:2" x14ac:dyDescent="0.4">
      <c r="A1025" s="2" t="s">
        <v>2055</v>
      </c>
      <c r="B1025" s="2" t="s">
        <v>2056</v>
      </c>
    </row>
    <row r="1026" spans="1:2" x14ac:dyDescent="0.4">
      <c r="A1026" s="2" t="s">
        <v>2057</v>
      </c>
      <c r="B1026" s="2" t="s">
        <v>2058</v>
      </c>
    </row>
    <row r="1027" spans="1:2" x14ac:dyDescent="0.4">
      <c r="A1027" s="2" t="s">
        <v>2059</v>
      </c>
      <c r="B1027" s="2" t="s">
        <v>2060</v>
      </c>
    </row>
    <row r="1028" spans="1:2" x14ac:dyDescent="0.4">
      <c r="A1028" s="2" t="s">
        <v>2061</v>
      </c>
      <c r="B1028" s="2" t="s">
        <v>2062</v>
      </c>
    </row>
    <row r="1029" spans="1:2" x14ac:dyDescent="0.4">
      <c r="A1029" s="2" t="s">
        <v>2063</v>
      </c>
      <c r="B1029" s="2" t="s">
        <v>2064</v>
      </c>
    </row>
    <row r="1030" spans="1:2" x14ac:dyDescent="0.4">
      <c r="A1030" s="2" t="s">
        <v>2065</v>
      </c>
      <c r="B1030" s="2" t="s">
        <v>2066</v>
      </c>
    </row>
    <row r="1031" spans="1:2" x14ac:dyDescent="0.4">
      <c r="A1031" s="2" t="s">
        <v>2067</v>
      </c>
      <c r="B1031" s="2" t="s">
        <v>2068</v>
      </c>
    </row>
    <row r="1032" spans="1:2" x14ac:dyDescent="0.4">
      <c r="A1032" s="2" t="s">
        <v>2069</v>
      </c>
      <c r="B1032" s="2" t="s">
        <v>2070</v>
      </c>
    </row>
    <row r="1033" spans="1:2" x14ac:dyDescent="0.4">
      <c r="A1033" s="2" t="s">
        <v>2071</v>
      </c>
      <c r="B1033" s="2" t="s">
        <v>2072</v>
      </c>
    </row>
    <row r="1034" spans="1:2" x14ac:dyDescent="0.4">
      <c r="A1034" s="2" t="s">
        <v>2073</v>
      </c>
      <c r="B1034" s="2" t="s">
        <v>2074</v>
      </c>
    </row>
    <row r="1035" spans="1:2" x14ac:dyDescent="0.4">
      <c r="A1035" s="2" t="s">
        <v>5</v>
      </c>
      <c r="B1035" s="2" t="s">
        <v>2075</v>
      </c>
    </row>
    <row r="1036" spans="1:2" x14ac:dyDescent="0.4">
      <c r="A1036" s="2" t="s">
        <v>2076</v>
      </c>
      <c r="B1036" s="2" t="s">
        <v>2077</v>
      </c>
    </row>
    <row r="1037" spans="1:2" x14ac:dyDescent="0.4">
      <c r="A1037" s="2" t="s">
        <v>2078</v>
      </c>
      <c r="B1037" s="2" t="s">
        <v>2079</v>
      </c>
    </row>
    <row r="1038" spans="1:2" x14ac:dyDescent="0.4">
      <c r="A1038" s="2" t="s">
        <v>2080</v>
      </c>
      <c r="B1038" s="2" t="s">
        <v>2081</v>
      </c>
    </row>
    <row r="1039" spans="1:2" x14ac:dyDescent="0.4">
      <c r="A1039" s="2" t="s">
        <v>2082</v>
      </c>
      <c r="B1039" s="2" t="s">
        <v>2083</v>
      </c>
    </row>
    <row r="1040" spans="1:2" x14ac:dyDescent="0.4">
      <c r="A1040" s="2" t="s">
        <v>2084</v>
      </c>
      <c r="B1040" s="2" t="s">
        <v>2085</v>
      </c>
    </row>
    <row r="1041" spans="1:2" x14ac:dyDescent="0.4">
      <c r="A1041" s="2" t="s">
        <v>2086</v>
      </c>
      <c r="B1041" s="2" t="s">
        <v>2087</v>
      </c>
    </row>
    <row r="1042" spans="1:2" x14ac:dyDescent="0.4">
      <c r="A1042" s="2" t="s">
        <v>2088</v>
      </c>
      <c r="B1042" s="2" t="s">
        <v>2089</v>
      </c>
    </row>
    <row r="1043" spans="1:2" x14ac:dyDescent="0.4">
      <c r="A1043" s="2" t="s">
        <v>2090</v>
      </c>
      <c r="B1043" s="2" t="s">
        <v>2091</v>
      </c>
    </row>
    <row r="1044" spans="1:2" x14ac:dyDescent="0.4">
      <c r="A1044" s="2" t="s">
        <v>2092</v>
      </c>
      <c r="B1044" s="2" t="s">
        <v>2093</v>
      </c>
    </row>
    <row r="1045" spans="1:2" x14ac:dyDescent="0.4">
      <c r="A1045" s="2" t="s">
        <v>2094</v>
      </c>
      <c r="B1045" s="2" t="s">
        <v>2095</v>
      </c>
    </row>
    <row r="1046" spans="1:2" x14ac:dyDescent="0.4">
      <c r="A1046" s="2" t="s">
        <v>2096</v>
      </c>
      <c r="B1046" s="2" t="s">
        <v>2097</v>
      </c>
    </row>
    <row r="1047" spans="1:2" x14ac:dyDescent="0.4">
      <c r="A1047" s="2" t="s">
        <v>2098</v>
      </c>
      <c r="B1047" s="2" t="s">
        <v>2099</v>
      </c>
    </row>
    <row r="1048" spans="1:2" x14ac:dyDescent="0.4">
      <c r="A1048" s="2" t="s">
        <v>2100</v>
      </c>
      <c r="B1048" s="2" t="s">
        <v>2101</v>
      </c>
    </row>
    <row r="1049" spans="1:2" x14ac:dyDescent="0.4">
      <c r="A1049" s="2" t="s">
        <v>2102</v>
      </c>
      <c r="B1049" s="2" t="s">
        <v>2103</v>
      </c>
    </row>
    <row r="1050" spans="1:2" x14ac:dyDescent="0.4">
      <c r="A1050" s="2" t="s">
        <v>2104</v>
      </c>
      <c r="B1050" s="2" t="s">
        <v>2105</v>
      </c>
    </row>
    <row r="1051" spans="1:2" x14ac:dyDescent="0.4">
      <c r="A1051" s="2" t="s">
        <v>2106</v>
      </c>
      <c r="B1051" s="2" t="s">
        <v>2107</v>
      </c>
    </row>
    <row r="1052" spans="1:2" x14ac:dyDescent="0.4">
      <c r="A1052" s="2" t="s">
        <v>2108</v>
      </c>
      <c r="B1052" s="2" t="s">
        <v>2109</v>
      </c>
    </row>
    <row r="1053" spans="1:2" x14ac:dyDescent="0.4">
      <c r="A1053" s="2" t="s">
        <v>2110</v>
      </c>
      <c r="B1053" s="2" t="s">
        <v>2111</v>
      </c>
    </row>
    <row r="1054" spans="1:2" x14ac:dyDescent="0.4">
      <c r="A1054" s="2" t="s">
        <v>2112</v>
      </c>
      <c r="B1054" s="2" t="s">
        <v>2113</v>
      </c>
    </row>
    <row r="1055" spans="1:2" x14ac:dyDescent="0.4">
      <c r="A1055" s="2" t="s">
        <v>2114</v>
      </c>
      <c r="B1055" s="2" t="s">
        <v>2115</v>
      </c>
    </row>
    <row r="1056" spans="1:2" x14ac:dyDescent="0.4">
      <c r="A1056" s="2" t="s">
        <v>2116</v>
      </c>
      <c r="B1056" s="2" t="s">
        <v>2117</v>
      </c>
    </row>
    <row r="1057" spans="1:2" x14ac:dyDescent="0.4">
      <c r="A1057" s="2" t="s">
        <v>2118</v>
      </c>
      <c r="B1057" s="2" t="s">
        <v>2119</v>
      </c>
    </row>
    <row r="1058" spans="1:2" x14ac:dyDescent="0.4">
      <c r="A1058" s="2" t="s">
        <v>2120</v>
      </c>
      <c r="B1058" s="2" t="s">
        <v>2121</v>
      </c>
    </row>
    <row r="1059" spans="1:2" x14ac:dyDescent="0.4">
      <c r="A1059" s="2" t="s">
        <v>2122</v>
      </c>
      <c r="B1059" s="2" t="s">
        <v>2123</v>
      </c>
    </row>
    <row r="1060" spans="1:2" x14ac:dyDescent="0.4">
      <c r="A1060" s="2" t="s">
        <v>2124</v>
      </c>
      <c r="B1060" s="2" t="s">
        <v>2125</v>
      </c>
    </row>
    <row r="1061" spans="1:2" x14ac:dyDescent="0.4">
      <c r="A1061" s="2" t="s">
        <v>2126</v>
      </c>
      <c r="B1061" s="2" t="s">
        <v>2127</v>
      </c>
    </row>
    <row r="1062" spans="1:2" x14ac:dyDescent="0.4">
      <c r="A1062" s="2" t="s">
        <v>2128</v>
      </c>
      <c r="B1062" s="2" t="s">
        <v>2129</v>
      </c>
    </row>
    <row r="1063" spans="1:2" x14ac:dyDescent="0.4">
      <c r="A1063" s="2" t="s">
        <v>2130</v>
      </c>
      <c r="B1063" s="2" t="s">
        <v>2131</v>
      </c>
    </row>
    <row r="1064" spans="1:2" x14ac:dyDescent="0.4">
      <c r="A1064" s="2" t="s">
        <v>2132</v>
      </c>
      <c r="B1064" s="2" t="s">
        <v>2133</v>
      </c>
    </row>
    <row r="1065" spans="1:2" x14ac:dyDescent="0.4">
      <c r="A1065" s="2" t="s">
        <v>2134</v>
      </c>
      <c r="B1065" s="2" t="s">
        <v>2135</v>
      </c>
    </row>
    <row r="1066" spans="1:2" x14ac:dyDescent="0.4">
      <c r="A1066" s="2" t="s">
        <v>2136</v>
      </c>
      <c r="B1066" s="2" t="s">
        <v>2137</v>
      </c>
    </row>
    <row r="1067" spans="1:2" x14ac:dyDescent="0.4">
      <c r="A1067" s="2" t="s">
        <v>2138</v>
      </c>
      <c r="B1067" s="2" t="s">
        <v>2139</v>
      </c>
    </row>
    <row r="1068" spans="1:2" x14ac:dyDescent="0.4">
      <c r="A1068" s="2" t="s">
        <v>2140</v>
      </c>
      <c r="B1068" s="2" t="s">
        <v>2141</v>
      </c>
    </row>
    <row r="1069" spans="1:2" x14ac:dyDescent="0.4">
      <c r="A1069" s="2" t="s">
        <v>2142</v>
      </c>
      <c r="B1069" s="2" t="s">
        <v>2143</v>
      </c>
    </row>
    <row r="1070" spans="1:2" x14ac:dyDescent="0.4">
      <c r="A1070" s="2" t="s">
        <v>2144</v>
      </c>
      <c r="B1070" s="2" t="s">
        <v>2145</v>
      </c>
    </row>
    <row r="1071" spans="1:2" x14ac:dyDescent="0.4">
      <c r="A1071" s="2" t="s">
        <v>2146</v>
      </c>
      <c r="B1071" s="2" t="s">
        <v>2147</v>
      </c>
    </row>
    <row r="1072" spans="1:2" x14ac:dyDescent="0.4">
      <c r="A1072" s="2" t="s">
        <v>2148</v>
      </c>
      <c r="B1072" s="2" t="s">
        <v>2149</v>
      </c>
    </row>
    <row r="1073" spans="1:2" x14ac:dyDescent="0.4">
      <c r="A1073" s="2" t="s">
        <v>2150</v>
      </c>
      <c r="B1073" s="2" t="s">
        <v>2151</v>
      </c>
    </row>
    <row r="1074" spans="1:2" x14ac:dyDescent="0.4">
      <c r="A1074" s="2" t="s">
        <v>2152</v>
      </c>
      <c r="B1074" s="2" t="s">
        <v>2153</v>
      </c>
    </row>
    <row r="1075" spans="1:2" x14ac:dyDescent="0.4">
      <c r="A1075" s="2" t="s">
        <v>2154</v>
      </c>
      <c r="B1075" s="2" t="s">
        <v>2155</v>
      </c>
    </row>
    <row r="1076" spans="1:2" x14ac:dyDescent="0.4">
      <c r="A1076" s="2" t="s">
        <v>2156</v>
      </c>
      <c r="B1076" s="2" t="s">
        <v>2157</v>
      </c>
    </row>
    <row r="1077" spans="1:2" x14ac:dyDescent="0.4">
      <c r="A1077" s="2" t="s">
        <v>2158</v>
      </c>
      <c r="B1077" s="2" t="s">
        <v>2159</v>
      </c>
    </row>
    <row r="1078" spans="1:2" x14ac:dyDescent="0.4">
      <c r="A1078" s="2" t="s">
        <v>2160</v>
      </c>
      <c r="B1078" s="2" t="s">
        <v>2161</v>
      </c>
    </row>
    <row r="1079" spans="1:2" x14ac:dyDescent="0.4">
      <c r="A1079" s="2" t="s">
        <v>2162</v>
      </c>
      <c r="B1079" s="2" t="s">
        <v>2163</v>
      </c>
    </row>
    <row r="1080" spans="1:2" x14ac:dyDescent="0.4">
      <c r="A1080" s="2" t="s">
        <v>2164</v>
      </c>
      <c r="B1080" s="2" t="s">
        <v>2165</v>
      </c>
    </row>
    <row r="1081" spans="1:2" x14ac:dyDescent="0.4">
      <c r="A1081" s="2" t="s">
        <v>2166</v>
      </c>
      <c r="B1081" s="2" t="s">
        <v>2167</v>
      </c>
    </row>
    <row r="1082" spans="1:2" x14ac:dyDescent="0.4">
      <c r="A1082" s="2" t="s">
        <v>2168</v>
      </c>
      <c r="B1082" s="2" t="s">
        <v>2169</v>
      </c>
    </row>
    <row r="1083" spans="1:2" x14ac:dyDescent="0.4">
      <c r="A1083" s="2" t="s">
        <v>2170</v>
      </c>
      <c r="B1083" s="2" t="s">
        <v>2171</v>
      </c>
    </row>
    <row r="1084" spans="1:2" x14ac:dyDescent="0.4">
      <c r="A1084" s="2" t="s">
        <v>2172</v>
      </c>
      <c r="B1084" s="2" t="s">
        <v>2173</v>
      </c>
    </row>
    <row r="1085" spans="1:2" x14ac:dyDescent="0.4">
      <c r="A1085" s="2" t="s">
        <v>2174</v>
      </c>
      <c r="B1085" s="2" t="s">
        <v>2175</v>
      </c>
    </row>
    <row r="1086" spans="1:2" x14ac:dyDescent="0.4">
      <c r="A1086" s="2" t="s">
        <v>2176</v>
      </c>
      <c r="B1086" s="2" t="s">
        <v>2177</v>
      </c>
    </row>
    <row r="1087" spans="1:2" x14ac:dyDescent="0.4">
      <c r="A1087" s="2" t="s">
        <v>2178</v>
      </c>
      <c r="B1087" s="2" t="s">
        <v>2179</v>
      </c>
    </row>
    <row r="1088" spans="1:2" x14ac:dyDescent="0.4">
      <c r="A1088" s="2" t="s">
        <v>2180</v>
      </c>
      <c r="B1088" s="2" t="s">
        <v>2181</v>
      </c>
    </row>
    <row r="1089" spans="1:2" x14ac:dyDescent="0.4">
      <c r="A1089" s="2" t="s">
        <v>2182</v>
      </c>
      <c r="B1089" s="2" t="s">
        <v>2183</v>
      </c>
    </row>
    <row r="1090" spans="1:2" x14ac:dyDescent="0.4">
      <c r="A1090" s="2" t="s">
        <v>2184</v>
      </c>
      <c r="B1090" s="2" t="s">
        <v>2185</v>
      </c>
    </row>
    <row r="1091" spans="1:2" x14ac:dyDescent="0.4">
      <c r="A1091" s="2" t="s">
        <v>2186</v>
      </c>
      <c r="B1091" s="2" t="s">
        <v>2187</v>
      </c>
    </row>
    <row r="1092" spans="1:2" x14ac:dyDescent="0.4">
      <c r="A1092" s="2" t="s">
        <v>2188</v>
      </c>
      <c r="B1092" s="2" t="s">
        <v>2189</v>
      </c>
    </row>
    <row r="1093" spans="1:2" x14ac:dyDescent="0.4">
      <c r="A1093" s="2" t="s">
        <v>2190</v>
      </c>
      <c r="B1093" s="2" t="s">
        <v>2191</v>
      </c>
    </row>
    <row r="1094" spans="1:2" x14ac:dyDescent="0.4">
      <c r="A1094" s="2" t="s">
        <v>2192</v>
      </c>
      <c r="B1094" s="2" t="s">
        <v>2193</v>
      </c>
    </row>
    <row r="1095" spans="1:2" x14ac:dyDescent="0.4">
      <c r="A1095" s="2" t="s">
        <v>2194</v>
      </c>
      <c r="B1095" s="2" t="s">
        <v>2195</v>
      </c>
    </row>
    <row r="1096" spans="1:2" x14ac:dyDescent="0.4">
      <c r="A1096" s="2" t="s">
        <v>2196</v>
      </c>
      <c r="B1096" s="2" t="s">
        <v>2197</v>
      </c>
    </row>
    <row r="1097" spans="1:2" x14ac:dyDescent="0.4">
      <c r="A1097" s="2" t="s">
        <v>2198</v>
      </c>
      <c r="B1097" s="2" t="s">
        <v>2199</v>
      </c>
    </row>
    <row r="1098" spans="1:2" x14ac:dyDescent="0.4">
      <c r="A1098" s="2" t="s">
        <v>2200</v>
      </c>
      <c r="B1098" s="2" t="s">
        <v>2201</v>
      </c>
    </row>
    <row r="1099" spans="1:2" x14ac:dyDescent="0.4">
      <c r="A1099" s="2" t="s">
        <v>2202</v>
      </c>
      <c r="B1099" s="2" t="s">
        <v>2203</v>
      </c>
    </row>
    <row r="1100" spans="1:2" x14ac:dyDescent="0.4">
      <c r="A1100" s="2" t="s">
        <v>2204</v>
      </c>
      <c r="B1100" s="2" t="s">
        <v>2205</v>
      </c>
    </row>
    <row r="1101" spans="1:2" x14ac:dyDescent="0.4">
      <c r="A1101" s="2" t="s">
        <v>2206</v>
      </c>
      <c r="B1101" s="2" t="s">
        <v>2207</v>
      </c>
    </row>
    <row r="1102" spans="1:2" x14ac:dyDescent="0.4">
      <c r="A1102" s="2" t="s">
        <v>2208</v>
      </c>
      <c r="B1102" s="2" t="s">
        <v>2209</v>
      </c>
    </row>
    <row r="1103" spans="1:2" x14ac:dyDescent="0.4">
      <c r="A1103" s="2" t="s">
        <v>2210</v>
      </c>
      <c r="B1103" s="2" t="s">
        <v>2211</v>
      </c>
    </row>
    <row r="1104" spans="1:2" x14ac:dyDescent="0.4">
      <c r="A1104" s="2" t="s">
        <v>2212</v>
      </c>
      <c r="B1104" s="2" t="s">
        <v>2213</v>
      </c>
    </row>
    <row r="1105" spans="1:2" x14ac:dyDescent="0.4">
      <c r="A1105" s="2" t="s">
        <v>2214</v>
      </c>
      <c r="B1105" s="2" t="s">
        <v>2215</v>
      </c>
    </row>
    <row r="1106" spans="1:2" x14ac:dyDescent="0.4">
      <c r="A1106" s="2" t="s">
        <v>2216</v>
      </c>
      <c r="B1106" s="2" t="s">
        <v>2217</v>
      </c>
    </row>
    <row r="1107" spans="1:2" x14ac:dyDescent="0.4">
      <c r="A1107" s="2" t="s">
        <v>2218</v>
      </c>
      <c r="B1107" s="2" t="s">
        <v>2219</v>
      </c>
    </row>
    <row r="1108" spans="1:2" x14ac:dyDescent="0.4">
      <c r="A1108" s="2" t="s">
        <v>2220</v>
      </c>
      <c r="B1108" s="2" t="s">
        <v>2221</v>
      </c>
    </row>
    <row r="1109" spans="1:2" x14ac:dyDescent="0.4">
      <c r="A1109" s="2" t="s">
        <v>2222</v>
      </c>
      <c r="B1109" s="2" t="s">
        <v>2223</v>
      </c>
    </row>
    <row r="1110" spans="1:2" x14ac:dyDescent="0.4">
      <c r="A1110" s="2" t="s">
        <v>2224</v>
      </c>
      <c r="B1110" s="2" t="s">
        <v>2225</v>
      </c>
    </row>
    <row r="1111" spans="1:2" x14ac:dyDescent="0.4">
      <c r="A1111" s="2" t="s">
        <v>2226</v>
      </c>
      <c r="B1111" s="2" t="s">
        <v>2227</v>
      </c>
    </row>
    <row r="1112" spans="1:2" x14ac:dyDescent="0.4">
      <c r="A1112" s="2" t="s">
        <v>2228</v>
      </c>
      <c r="B1112" s="2" t="s">
        <v>2229</v>
      </c>
    </row>
    <row r="1113" spans="1:2" x14ac:dyDescent="0.4">
      <c r="A1113" s="2" t="s">
        <v>2230</v>
      </c>
      <c r="B1113" s="2" t="s">
        <v>2231</v>
      </c>
    </row>
    <row r="1114" spans="1:2" x14ac:dyDescent="0.4">
      <c r="A1114" s="2" t="s">
        <v>2232</v>
      </c>
      <c r="B1114" s="2" t="s">
        <v>2233</v>
      </c>
    </row>
    <row r="1115" spans="1:2" x14ac:dyDescent="0.4">
      <c r="A1115" s="2" t="s">
        <v>2234</v>
      </c>
      <c r="B1115" s="2" t="s">
        <v>2235</v>
      </c>
    </row>
    <row r="1116" spans="1:2" x14ac:dyDescent="0.4">
      <c r="A1116" s="2" t="s">
        <v>2236</v>
      </c>
      <c r="B1116" s="2" t="s">
        <v>2237</v>
      </c>
    </row>
    <row r="1117" spans="1:2" x14ac:dyDescent="0.4">
      <c r="A1117" s="2" t="s">
        <v>2238</v>
      </c>
      <c r="B1117" s="2" t="s">
        <v>2239</v>
      </c>
    </row>
    <row r="1118" spans="1:2" x14ac:dyDescent="0.4">
      <c r="A1118" s="2" t="s">
        <v>2240</v>
      </c>
      <c r="B1118" s="2" t="s">
        <v>2241</v>
      </c>
    </row>
    <row r="1119" spans="1:2" x14ac:dyDescent="0.4">
      <c r="A1119" s="2" t="s">
        <v>2242</v>
      </c>
      <c r="B1119" s="2" t="s">
        <v>2243</v>
      </c>
    </row>
    <row r="1120" spans="1:2" x14ac:dyDescent="0.4">
      <c r="A1120" s="2" t="s">
        <v>2244</v>
      </c>
      <c r="B1120" s="2" t="s">
        <v>2245</v>
      </c>
    </row>
    <row r="1121" spans="1:2" x14ac:dyDescent="0.4">
      <c r="A1121" s="2" t="s">
        <v>2246</v>
      </c>
      <c r="B1121" s="2" t="s">
        <v>2247</v>
      </c>
    </row>
    <row r="1122" spans="1:2" x14ac:dyDescent="0.4">
      <c r="A1122" s="2" t="s">
        <v>2248</v>
      </c>
      <c r="B1122" s="2" t="s">
        <v>2249</v>
      </c>
    </row>
    <row r="1123" spans="1:2" x14ac:dyDescent="0.4">
      <c r="A1123" s="2" t="s">
        <v>2250</v>
      </c>
      <c r="B1123" s="2" t="s">
        <v>2251</v>
      </c>
    </row>
    <row r="1124" spans="1:2" x14ac:dyDescent="0.4">
      <c r="A1124" s="2" t="s">
        <v>4</v>
      </c>
      <c r="B1124" s="2" t="s">
        <v>2252</v>
      </c>
    </row>
    <row r="1125" spans="1:2" x14ac:dyDescent="0.4">
      <c r="A1125" s="2" t="s">
        <v>2253</v>
      </c>
      <c r="B1125" s="2" t="s">
        <v>2254</v>
      </c>
    </row>
    <row r="1126" spans="1:2" x14ac:dyDescent="0.4">
      <c r="A1126" s="2" t="s">
        <v>2255</v>
      </c>
      <c r="B1126" s="2" t="s">
        <v>2256</v>
      </c>
    </row>
    <row r="1127" spans="1:2" x14ac:dyDescent="0.4">
      <c r="A1127" s="2" t="s">
        <v>2257</v>
      </c>
      <c r="B1127" s="2" t="s">
        <v>2258</v>
      </c>
    </row>
    <row r="1128" spans="1:2" x14ac:dyDescent="0.4">
      <c r="A1128" s="2" t="s">
        <v>2259</v>
      </c>
      <c r="B1128" s="2" t="s">
        <v>2260</v>
      </c>
    </row>
    <row r="1129" spans="1:2" x14ac:dyDescent="0.4">
      <c r="A1129" s="2" t="s">
        <v>2261</v>
      </c>
      <c r="B1129" s="2" t="s">
        <v>2262</v>
      </c>
    </row>
    <row r="1130" spans="1:2" x14ac:dyDescent="0.4">
      <c r="A1130" s="2" t="s">
        <v>2263</v>
      </c>
      <c r="B1130" s="2" t="s">
        <v>2264</v>
      </c>
    </row>
    <row r="1131" spans="1:2" x14ac:dyDescent="0.4">
      <c r="A1131" s="2" t="s">
        <v>2265</v>
      </c>
      <c r="B1131" s="2" t="s">
        <v>2266</v>
      </c>
    </row>
    <row r="1132" spans="1:2" x14ac:dyDescent="0.4">
      <c r="A1132" s="2" t="s">
        <v>2267</v>
      </c>
      <c r="B1132" s="2" t="s">
        <v>2268</v>
      </c>
    </row>
    <row r="1133" spans="1:2" x14ac:dyDescent="0.4">
      <c r="A1133" s="2" t="s">
        <v>2269</v>
      </c>
      <c r="B1133" s="2" t="s">
        <v>2270</v>
      </c>
    </row>
    <row r="1134" spans="1:2" x14ac:dyDescent="0.4">
      <c r="A1134" s="2" t="s">
        <v>2271</v>
      </c>
      <c r="B1134" s="2" t="s">
        <v>2272</v>
      </c>
    </row>
    <row r="1135" spans="1:2" x14ac:dyDescent="0.4">
      <c r="A1135" s="2" t="s">
        <v>2273</v>
      </c>
      <c r="B1135" s="2" t="s">
        <v>2274</v>
      </c>
    </row>
    <row r="1136" spans="1:2" x14ac:dyDescent="0.4">
      <c r="A1136" s="2" t="s">
        <v>2275</v>
      </c>
      <c r="B1136" s="2" t="s">
        <v>2276</v>
      </c>
    </row>
    <row r="1137" spans="1:2" x14ac:dyDescent="0.4">
      <c r="A1137" s="2" t="s">
        <v>2277</v>
      </c>
      <c r="B1137" s="2" t="s">
        <v>2278</v>
      </c>
    </row>
    <row r="1138" spans="1:2" x14ac:dyDescent="0.4">
      <c r="A1138" s="2" t="s">
        <v>2279</v>
      </c>
      <c r="B1138" s="2" t="s">
        <v>2280</v>
      </c>
    </row>
    <row r="1139" spans="1:2" x14ac:dyDescent="0.4">
      <c r="A1139" s="2" t="s">
        <v>2281</v>
      </c>
      <c r="B1139" s="2" t="s">
        <v>2282</v>
      </c>
    </row>
    <row r="1140" spans="1:2" x14ac:dyDescent="0.4">
      <c r="A1140" s="2" t="s">
        <v>2283</v>
      </c>
      <c r="B1140" s="2" t="s">
        <v>2284</v>
      </c>
    </row>
    <row r="1141" spans="1:2" x14ac:dyDescent="0.4">
      <c r="A1141" s="2" t="s">
        <v>2285</v>
      </c>
      <c r="B1141" s="2" t="s">
        <v>2286</v>
      </c>
    </row>
    <row r="1142" spans="1:2" x14ac:dyDescent="0.4">
      <c r="A1142" s="2" t="s">
        <v>2287</v>
      </c>
      <c r="B1142" s="2" t="s">
        <v>2288</v>
      </c>
    </row>
    <row r="1143" spans="1:2" x14ac:dyDescent="0.4">
      <c r="A1143" s="2" t="s">
        <v>2289</v>
      </c>
      <c r="B1143" s="2" t="s">
        <v>2290</v>
      </c>
    </row>
    <row r="1144" spans="1:2" x14ac:dyDescent="0.4">
      <c r="A1144" s="2" t="s">
        <v>2291</v>
      </c>
      <c r="B1144" s="2" t="s">
        <v>2292</v>
      </c>
    </row>
    <row r="1145" spans="1:2" x14ac:dyDescent="0.4">
      <c r="A1145" s="2" t="s">
        <v>2293</v>
      </c>
      <c r="B1145" s="2" t="s">
        <v>2294</v>
      </c>
    </row>
    <row r="1146" spans="1:2" x14ac:dyDescent="0.4">
      <c r="A1146" s="2" t="s">
        <v>2295</v>
      </c>
      <c r="B1146" s="2" t="s">
        <v>2296</v>
      </c>
    </row>
    <row r="1147" spans="1:2" x14ac:dyDescent="0.4">
      <c r="A1147" s="2" t="s">
        <v>2297</v>
      </c>
      <c r="B1147" s="2" t="s">
        <v>2298</v>
      </c>
    </row>
    <row r="1148" spans="1:2" x14ac:dyDescent="0.4">
      <c r="A1148" s="2" t="s">
        <v>2299</v>
      </c>
      <c r="B1148" s="2" t="s">
        <v>2300</v>
      </c>
    </row>
    <row r="1149" spans="1:2" x14ac:dyDescent="0.4">
      <c r="A1149" s="2" t="s">
        <v>2301</v>
      </c>
      <c r="B1149" s="2" t="s">
        <v>2302</v>
      </c>
    </row>
    <row r="1150" spans="1:2" x14ac:dyDescent="0.4">
      <c r="A1150" s="2" t="s">
        <v>2303</v>
      </c>
      <c r="B1150" s="2" t="s">
        <v>2304</v>
      </c>
    </row>
    <row r="1151" spans="1:2" x14ac:dyDescent="0.4">
      <c r="A1151" s="2" t="s">
        <v>2305</v>
      </c>
      <c r="B1151" s="2" t="s">
        <v>2306</v>
      </c>
    </row>
    <row r="1152" spans="1:2" x14ac:dyDescent="0.4">
      <c r="A1152" s="2" t="s">
        <v>2307</v>
      </c>
      <c r="B1152" s="2" t="s">
        <v>2308</v>
      </c>
    </row>
    <row r="1153" spans="1:2" x14ac:dyDescent="0.4">
      <c r="A1153" s="2" t="s">
        <v>2309</v>
      </c>
      <c r="B1153" s="2" t="s">
        <v>2310</v>
      </c>
    </row>
    <row r="1154" spans="1:2" x14ac:dyDescent="0.4">
      <c r="A1154" s="2" t="s">
        <v>2311</v>
      </c>
      <c r="B1154" s="2" t="s">
        <v>2312</v>
      </c>
    </row>
    <row r="1155" spans="1:2" x14ac:dyDescent="0.4">
      <c r="A1155" s="2" t="s">
        <v>2313</v>
      </c>
      <c r="B1155" s="2" t="s">
        <v>2314</v>
      </c>
    </row>
    <row r="1156" spans="1:2" x14ac:dyDescent="0.4">
      <c r="A1156" s="2" t="s">
        <v>2315</v>
      </c>
      <c r="B1156" s="2" t="s">
        <v>2316</v>
      </c>
    </row>
    <row r="1157" spans="1:2" x14ac:dyDescent="0.4">
      <c r="A1157" s="2" t="s">
        <v>2317</v>
      </c>
      <c r="B1157" s="2" t="s">
        <v>2318</v>
      </c>
    </row>
    <row r="1158" spans="1:2" x14ac:dyDescent="0.4">
      <c r="A1158" s="2" t="s">
        <v>2319</v>
      </c>
      <c r="B1158" s="2" t="s">
        <v>2320</v>
      </c>
    </row>
    <row r="1159" spans="1:2" x14ac:dyDescent="0.4">
      <c r="A1159" s="2" t="s">
        <v>2321</v>
      </c>
      <c r="B1159" s="2" t="s">
        <v>2322</v>
      </c>
    </row>
    <row r="1160" spans="1:2" x14ac:dyDescent="0.4">
      <c r="A1160" s="2" t="s">
        <v>2323</v>
      </c>
      <c r="B1160" s="2" t="s">
        <v>2324</v>
      </c>
    </row>
    <row r="1161" spans="1:2" x14ac:dyDescent="0.4">
      <c r="A1161" s="2" t="s">
        <v>2325</v>
      </c>
      <c r="B1161" s="2" t="s">
        <v>2326</v>
      </c>
    </row>
    <row r="1162" spans="1:2" x14ac:dyDescent="0.4">
      <c r="A1162" s="2" t="s">
        <v>2327</v>
      </c>
      <c r="B1162" s="2" t="s">
        <v>2328</v>
      </c>
    </row>
    <row r="1163" spans="1:2" x14ac:dyDescent="0.4">
      <c r="A1163" s="2" t="s">
        <v>2329</v>
      </c>
      <c r="B1163" s="2" t="s">
        <v>2330</v>
      </c>
    </row>
    <row r="1164" spans="1:2" x14ac:dyDescent="0.4">
      <c r="A1164" s="2" t="s">
        <v>2331</v>
      </c>
      <c r="B1164" s="2" t="s">
        <v>2332</v>
      </c>
    </row>
    <row r="1165" spans="1:2" x14ac:dyDescent="0.4">
      <c r="A1165" s="2" t="s">
        <v>2333</v>
      </c>
      <c r="B1165" s="2" t="s">
        <v>2334</v>
      </c>
    </row>
    <row r="1166" spans="1:2" x14ac:dyDescent="0.4">
      <c r="A1166" s="2" t="s">
        <v>2335</v>
      </c>
      <c r="B1166" s="2" t="s">
        <v>2336</v>
      </c>
    </row>
    <row r="1167" spans="1:2" x14ac:dyDescent="0.4">
      <c r="A1167" s="2" t="s">
        <v>2337</v>
      </c>
      <c r="B1167" s="2" t="s">
        <v>2338</v>
      </c>
    </row>
    <row r="1168" spans="1:2" x14ac:dyDescent="0.4">
      <c r="A1168" s="2" t="s">
        <v>2339</v>
      </c>
      <c r="B1168" s="2" t="s">
        <v>2340</v>
      </c>
    </row>
    <row r="1169" spans="1:2" x14ac:dyDescent="0.4">
      <c r="A1169" s="2" t="s">
        <v>2341</v>
      </c>
      <c r="B1169" s="2" t="s">
        <v>2342</v>
      </c>
    </row>
    <row r="1170" spans="1:2" x14ac:dyDescent="0.4">
      <c r="A1170" s="2" t="s">
        <v>2343</v>
      </c>
      <c r="B1170" s="2" t="s">
        <v>2344</v>
      </c>
    </row>
    <row r="1171" spans="1:2" x14ac:dyDescent="0.4">
      <c r="A1171" s="2" t="s">
        <v>2345</v>
      </c>
      <c r="B1171" s="2" t="s">
        <v>2346</v>
      </c>
    </row>
    <row r="1172" spans="1:2" x14ac:dyDescent="0.4">
      <c r="A1172" s="2" t="s">
        <v>2347</v>
      </c>
      <c r="B1172" s="2" t="s">
        <v>2348</v>
      </c>
    </row>
    <row r="1173" spans="1:2" x14ac:dyDescent="0.4">
      <c r="A1173" s="2" t="s">
        <v>2349</v>
      </c>
      <c r="B1173" s="2" t="s">
        <v>2350</v>
      </c>
    </row>
    <row r="1174" spans="1:2" x14ac:dyDescent="0.4">
      <c r="A1174" s="2" t="s">
        <v>2351</v>
      </c>
      <c r="B1174" s="2" t="s">
        <v>2352</v>
      </c>
    </row>
    <row r="1175" spans="1:2" x14ac:dyDescent="0.4">
      <c r="A1175" s="2" t="s">
        <v>2353</v>
      </c>
      <c r="B1175" s="2" t="s">
        <v>2354</v>
      </c>
    </row>
    <row r="1176" spans="1:2" x14ac:dyDescent="0.4">
      <c r="A1176" s="2" t="s">
        <v>2355</v>
      </c>
      <c r="B1176" s="2" t="s">
        <v>2356</v>
      </c>
    </row>
    <row r="1177" spans="1:2" x14ac:dyDescent="0.4">
      <c r="A1177" s="2" t="s">
        <v>2357</v>
      </c>
      <c r="B1177" s="2" t="s">
        <v>2358</v>
      </c>
    </row>
    <row r="1178" spans="1:2" x14ac:dyDescent="0.4">
      <c r="A1178" s="2" t="s">
        <v>2359</v>
      </c>
      <c r="B1178" s="2" t="s">
        <v>2360</v>
      </c>
    </row>
    <row r="1179" spans="1:2" x14ac:dyDescent="0.4">
      <c r="A1179" s="2" t="s">
        <v>2361</v>
      </c>
      <c r="B1179" s="2" t="s">
        <v>2362</v>
      </c>
    </row>
    <row r="1180" spans="1:2" x14ac:dyDescent="0.4">
      <c r="A1180" s="2" t="s">
        <v>2363</v>
      </c>
      <c r="B1180" s="2" t="s">
        <v>2364</v>
      </c>
    </row>
    <row r="1181" spans="1:2" x14ac:dyDescent="0.4">
      <c r="A1181" s="2" t="s">
        <v>2365</v>
      </c>
      <c r="B1181" s="2" t="s">
        <v>2366</v>
      </c>
    </row>
    <row r="1182" spans="1:2" x14ac:dyDescent="0.4">
      <c r="A1182" s="2" t="s">
        <v>2367</v>
      </c>
      <c r="B1182" s="2" t="s">
        <v>2368</v>
      </c>
    </row>
    <row r="1183" spans="1:2" x14ac:dyDescent="0.4">
      <c r="A1183" s="2" t="s">
        <v>2369</v>
      </c>
      <c r="B1183" s="2" t="s">
        <v>2370</v>
      </c>
    </row>
    <row r="1184" spans="1:2" x14ac:dyDescent="0.4">
      <c r="A1184" s="2" t="s">
        <v>2371</v>
      </c>
      <c r="B1184" s="2" t="s">
        <v>2372</v>
      </c>
    </row>
    <row r="1185" spans="1:2" x14ac:dyDescent="0.4">
      <c r="A1185" s="2" t="s">
        <v>2373</v>
      </c>
      <c r="B1185" s="2" t="s">
        <v>2374</v>
      </c>
    </row>
    <row r="1186" spans="1:2" x14ac:dyDescent="0.4">
      <c r="A1186" s="2" t="s">
        <v>2375</v>
      </c>
      <c r="B1186" s="2" t="s">
        <v>2376</v>
      </c>
    </row>
    <row r="1187" spans="1:2" x14ac:dyDescent="0.4">
      <c r="A1187" s="2" t="s">
        <v>2377</v>
      </c>
      <c r="B1187" s="2" t="s">
        <v>2378</v>
      </c>
    </row>
    <row r="1188" spans="1:2" x14ac:dyDescent="0.4">
      <c r="A1188" s="2" t="s">
        <v>2379</v>
      </c>
      <c r="B1188" s="2" t="s">
        <v>2380</v>
      </c>
    </row>
    <row r="1189" spans="1:2" x14ac:dyDescent="0.4">
      <c r="A1189" s="2" t="s">
        <v>2381</v>
      </c>
      <c r="B1189" s="2" t="s">
        <v>2382</v>
      </c>
    </row>
    <row r="1190" spans="1:2" x14ac:dyDescent="0.4">
      <c r="A1190" s="2" t="s">
        <v>2383</v>
      </c>
      <c r="B1190" s="2" t="s">
        <v>2384</v>
      </c>
    </row>
    <row r="1191" spans="1:2" x14ac:dyDescent="0.4">
      <c r="A1191" s="2" t="s">
        <v>2385</v>
      </c>
      <c r="B1191" s="2" t="s">
        <v>2386</v>
      </c>
    </row>
    <row r="1192" spans="1:2" x14ac:dyDescent="0.4">
      <c r="A1192" s="2" t="s">
        <v>2387</v>
      </c>
      <c r="B1192" s="2" t="s">
        <v>2388</v>
      </c>
    </row>
    <row r="1193" spans="1:2" x14ac:dyDescent="0.4">
      <c r="A1193" s="2" t="s">
        <v>2389</v>
      </c>
      <c r="B1193" s="2" t="s">
        <v>2390</v>
      </c>
    </row>
    <row r="1194" spans="1:2" x14ac:dyDescent="0.4">
      <c r="A1194" s="2" t="s">
        <v>2391</v>
      </c>
      <c r="B1194" s="2" t="s">
        <v>2392</v>
      </c>
    </row>
    <row r="1195" spans="1:2" x14ac:dyDescent="0.4">
      <c r="A1195" s="2" t="s">
        <v>2393</v>
      </c>
      <c r="B1195" s="2" t="s">
        <v>2394</v>
      </c>
    </row>
    <row r="1196" spans="1:2" x14ac:dyDescent="0.4">
      <c r="A1196" s="2" t="s">
        <v>2395</v>
      </c>
      <c r="B1196" s="2" t="s">
        <v>2396</v>
      </c>
    </row>
    <row r="1197" spans="1:2" x14ac:dyDescent="0.4">
      <c r="A1197" s="2" t="s">
        <v>2397</v>
      </c>
      <c r="B1197" s="2" t="s">
        <v>2398</v>
      </c>
    </row>
    <row r="1198" spans="1:2" x14ac:dyDescent="0.4">
      <c r="A1198" s="2" t="s">
        <v>2399</v>
      </c>
      <c r="B1198" s="2" t="s">
        <v>2400</v>
      </c>
    </row>
    <row r="1199" spans="1:2" x14ac:dyDescent="0.4">
      <c r="A1199" s="2" t="s">
        <v>2401</v>
      </c>
      <c r="B1199" s="2" t="s">
        <v>2402</v>
      </c>
    </row>
    <row r="1200" spans="1:2" x14ac:dyDescent="0.4">
      <c r="A1200" s="2" t="s">
        <v>2403</v>
      </c>
      <c r="B1200" s="2" t="s">
        <v>2404</v>
      </c>
    </row>
    <row r="1201" spans="1:2" x14ac:dyDescent="0.4">
      <c r="A1201" s="2" t="s">
        <v>2405</v>
      </c>
      <c r="B1201" s="2" t="s">
        <v>2406</v>
      </c>
    </row>
    <row r="1202" spans="1:2" x14ac:dyDescent="0.4">
      <c r="A1202" s="2" t="s">
        <v>2407</v>
      </c>
      <c r="B1202" s="2" t="s">
        <v>2408</v>
      </c>
    </row>
    <row r="1203" spans="1:2" x14ac:dyDescent="0.4">
      <c r="A1203" s="2" t="s">
        <v>2409</v>
      </c>
      <c r="B1203" s="2" t="s">
        <v>2410</v>
      </c>
    </row>
    <row r="1204" spans="1:2" x14ac:dyDescent="0.4">
      <c r="A1204" s="2" t="s">
        <v>2411</v>
      </c>
      <c r="B1204" s="2" t="s">
        <v>2412</v>
      </c>
    </row>
    <row r="1205" spans="1:2" x14ac:dyDescent="0.4">
      <c r="A1205" s="2" t="s">
        <v>2413</v>
      </c>
      <c r="B1205" s="2" t="s">
        <v>2414</v>
      </c>
    </row>
    <row r="1206" spans="1:2" x14ac:dyDescent="0.4">
      <c r="A1206" s="2" t="s">
        <v>2415</v>
      </c>
      <c r="B1206" s="2" t="s">
        <v>2416</v>
      </c>
    </row>
    <row r="1207" spans="1:2" x14ac:dyDescent="0.4">
      <c r="A1207" s="2" t="s">
        <v>2417</v>
      </c>
      <c r="B1207" s="2" t="s">
        <v>2418</v>
      </c>
    </row>
    <row r="1208" spans="1:2" x14ac:dyDescent="0.4">
      <c r="A1208" s="2" t="s">
        <v>2419</v>
      </c>
      <c r="B1208" s="2" t="s">
        <v>2420</v>
      </c>
    </row>
    <row r="1209" spans="1:2" x14ac:dyDescent="0.4">
      <c r="A1209" s="2" t="s">
        <v>2421</v>
      </c>
      <c r="B1209" s="2" t="s">
        <v>2422</v>
      </c>
    </row>
    <row r="1210" spans="1:2" x14ac:dyDescent="0.4">
      <c r="A1210" s="2" t="s">
        <v>2423</v>
      </c>
      <c r="B1210" s="2" t="s">
        <v>2424</v>
      </c>
    </row>
    <row r="1211" spans="1:2" x14ac:dyDescent="0.4">
      <c r="A1211" s="2" t="s">
        <v>2425</v>
      </c>
      <c r="B1211" s="2" t="s">
        <v>2426</v>
      </c>
    </row>
    <row r="1212" spans="1:2" x14ac:dyDescent="0.4">
      <c r="A1212" s="2" t="s">
        <v>2427</v>
      </c>
      <c r="B1212" s="2" t="s">
        <v>2428</v>
      </c>
    </row>
    <row r="1213" spans="1:2" x14ac:dyDescent="0.4">
      <c r="A1213" s="2" t="s">
        <v>2429</v>
      </c>
      <c r="B1213" s="2" t="s">
        <v>2430</v>
      </c>
    </row>
    <row r="1214" spans="1:2" x14ac:dyDescent="0.4">
      <c r="A1214" s="2" t="s">
        <v>2431</v>
      </c>
      <c r="B1214" s="2" t="s">
        <v>2432</v>
      </c>
    </row>
    <row r="1215" spans="1:2" x14ac:dyDescent="0.4">
      <c r="A1215" s="2" t="s">
        <v>2433</v>
      </c>
      <c r="B1215" s="2" t="s">
        <v>2434</v>
      </c>
    </row>
    <row r="1216" spans="1:2" x14ac:dyDescent="0.4">
      <c r="A1216" s="2" t="s">
        <v>2435</v>
      </c>
      <c r="B1216" s="2" t="s">
        <v>2436</v>
      </c>
    </row>
    <row r="1217" spans="1:2" x14ac:dyDescent="0.4">
      <c r="A1217" s="2" t="s">
        <v>2437</v>
      </c>
      <c r="B1217" s="2" t="s">
        <v>2438</v>
      </c>
    </row>
    <row r="1218" spans="1:2" x14ac:dyDescent="0.4">
      <c r="A1218" s="2" t="s">
        <v>2439</v>
      </c>
      <c r="B1218" s="2" t="s">
        <v>2440</v>
      </c>
    </row>
    <row r="1219" spans="1:2" x14ac:dyDescent="0.4">
      <c r="A1219" s="2" t="s">
        <v>2441</v>
      </c>
      <c r="B1219" s="2" t="s">
        <v>2442</v>
      </c>
    </row>
    <row r="1220" spans="1:2" x14ac:dyDescent="0.4">
      <c r="A1220" s="2" t="s">
        <v>2443</v>
      </c>
      <c r="B1220" s="2" t="s">
        <v>2444</v>
      </c>
    </row>
    <row r="1221" spans="1:2" x14ac:dyDescent="0.4">
      <c r="A1221" s="2" t="s">
        <v>2445</v>
      </c>
      <c r="B1221" s="2" t="s">
        <v>2446</v>
      </c>
    </row>
    <row r="1222" spans="1:2" x14ac:dyDescent="0.4">
      <c r="A1222" s="2" t="s">
        <v>2447</v>
      </c>
      <c r="B1222" s="2" t="s">
        <v>2448</v>
      </c>
    </row>
    <row r="1223" spans="1:2" x14ac:dyDescent="0.4">
      <c r="A1223" s="2" t="s">
        <v>2449</v>
      </c>
      <c r="B1223" s="2" t="s">
        <v>2450</v>
      </c>
    </row>
    <row r="1224" spans="1:2" x14ac:dyDescent="0.4">
      <c r="A1224" s="2" t="s">
        <v>2451</v>
      </c>
      <c r="B1224" s="2" t="s">
        <v>2452</v>
      </c>
    </row>
    <row r="1225" spans="1:2" x14ac:dyDescent="0.4">
      <c r="A1225" s="2" t="s">
        <v>2453</v>
      </c>
      <c r="B1225" s="2" t="s">
        <v>2454</v>
      </c>
    </row>
    <row r="1226" spans="1:2" x14ac:dyDescent="0.4">
      <c r="A1226" s="2" t="s">
        <v>2455</v>
      </c>
      <c r="B1226" s="2" t="s">
        <v>2456</v>
      </c>
    </row>
    <row r="1227" spans="1:2" x14ac:dyDescent="0.4">
      <c r="A1227" s="2" t="s">
        <v>2457</v>
      </c>
      <c r="B1227" s="2" t="s">
        <v>2458</v>
      </c>
    </row>
    <row r="1228" spans="1:2" x14ac:dyDescent="0.4">
      <c r="A1228" s="2" t="s">
        <v>2459</v>
      </c>
      <c r="B1228" s="2" t="s">
        <v>2460</v>
      </c>
    </row>
    <row r="1229" spans="1:2" x14ac:dyDescent="0.4">
      <c r="A1229" s="2" t="s">
        <v>2461</v>
      </c>
      <c r="B1229" s="2" t="s">
        <v>2462</v>
      </c>
    </row>
    <row r="1230" spans="1:2" x14ac:dyDescent="0.4">
      <c r="A1230" s="2" t="s">
        <v>2463</v>
      </c>
      <c r="B1230" s="2" t="s">
        <v>2464</v>
      </c>
    </row>
    <row r="1231" spans="1:2" x14ac:dyDescent="0.4">
      <c r="A1231" s="2" t="s">
        <v>2465</v>
      </c>
      <c r="B1231" s="2" t="s">
        <v>2466</v>
      </c>
    </row>
    <row r="1232" spans="1:2" x14ac:dyDescent="0.4">
      <c r="A1232" s="2" t="s">
        <v>2467</v>
      </c>
      <c r="B1232" s="2" t="s">
        <v>2468</v>
      </c>
    </row>
    <row r="1233" spans="1:2" x14ac:dyDescent="0.4">
      <c r="A1233" s="2" t="s">
        <v>2469</v>
      </c>
      <c r="B1233" s="2" t="s">
        <v>2470</v>
      </c>
    </row>
    <row r="1234" spans="1:2" x14ac:dyDescent="0.4">
      <c r="A1234" s="2" t="s">
        <v>2471</v>
      </c>
      <c r="B1234" s="2" t="s">
        <v>2472</v>
      </c>
    </row>
    <row r="1235" spans="1:2" x14ac:dyDescent="0.4">
      <c r="A1235" s="2" t="s">
        <v>2473</v>
      </c>
      <c r="B1235" s="2" t="s">
        <v>2474</v>
      </c>
    </row>
    <row r="1236" spans="1:2" x14ac:dyDescent="0.4">
      <c r="A1236" s="2" t="s">
        <v>2475</v>
      </c>
      <c r="B1236" s="2" t="s">
        <v>2476</v>
      </c>
    </row>
    <row r="1237" spans="1:2" x14ac:dyDescent="0.4">
      <c r="A1237" s="2" t="s">
        <v>2477</v>
      </c>
      <c r="B1237" s="2" t="s">
        <v>2478</v>
      </c>
    </row>
    <row r="1238" spans="1:2" x14ac:dyDescent="0.4">
      <c r="A1238" s="2" t="s">
        <v>2479</v>
      </c>
      <c r="B1238" s="2" t="s">
        <v>2480</v>
      </c>
    </row>
    <row r="1239" spans="1:2" x14ac:dyDescent="0.4">
      <c r="A1239" s="2" t="s">
        <v>2481</v>
      </c>
      <c r="B1239" s="2" t="s">
        <v>2482</v>
      </c>
    </row>
    <row r="1240" spans="1:2" x14ac:dyDescent="0.4">
      <c r="A1240" s="2" t="s">
        <v>2483</v>
      </c>
      <c r="B1240" s="2" t="s">
        <v>2484</v>
      </c>
    </row>
    <row r="1241" spans="1:2" x14ac:dyDescent="0.4">
      <c r="A1241" s="2" t="s">
        <v>2485</v>
      </c>
      <c r="B1241" s="2" t="s">
        <v>2486</v>
      </c>
    </row>
    <row r="1242" spans="1:2" x14ac:dyDescent="0.4">
      <c r="A1242" s="2" t="s">
        <v>2487</v>
      </c>
      <c r="B1242" s="2" t="s">
        <v>2488</v>
      </c>
    </row>
    <row r="1243" spans="1:2" x14ac:dyDescent="0.4">
      <c r="A1243" s="2" t="s">
        <v>2489</v>
      </c>
      <c r="B1243" s="2" t="s">
        <v>2490</v>
      </c>
    </row>
    <row r="1244" spans="1:2" x14ac:dyDescent="0.4">
      <c r="A1244" s="2" t="s">
        <v>2491</v>
      </c>
      <c r="B1244" s="2" t="s">
        <v>2492</v>
      </c>
    </row>
    <row r="1245" spans="1:2" x14ac:dyDescent="0.4">
      <c r="A1245" s="2" t="s">
        <v>2493</v>
      </c>
      <c r="B1245" s="2" t="s">
        <v>2494</v>
      </c>
    </row>
    <row r="1246" spans="1:2" x14ac:dyDescent="0.4">
      <c r="A1246" s="2" t="s">
        <v>2495</v>
      </c>
      <c r="B1246" s="2" t="s">
        <v>2496</v>
      </c>
    </row>
    <row r="1247" spans="1:2" x14ac:dyDescent="0.4">
      <c r="A1247" s="2" t="s">
        <v>2497</v>
      </c>
      <c r="B1247" s="2" t="s">
        <v>2498</v>
      </c>
    </row>
    <row r="1248" spans="1:2" x14ac:dyDescent="0.4">
      <c r="A1248" s="2" t="s">
        <v>2499</v>
      </c>
      <c r="B1248" s="2" t="s">
        <v>2500</v>
      </c>
    </row>
    <row r="1249" spans="1:2" x14ac:dyDescent="0.4">
      <c r="A1249" s="2" t="s">
        <v>2501</v>
      </c>
      <c r="B1249" s="2" t="s">
        <v>2502</v>
      </c>
    </row>
    <row r="1250" spans="1:2" x14ac:dyDescent="0.4">
      <c r="A1250" s="2" t="s">
        <v>2503</v>
      </c>
      <c r="B1250" s="2" t="s">
        <v>2504</v>
      </c>
    </row>
    <row r="1251" spans="1:2" x14ac:dyDescent="0.4">
      <c r="A1251" s="2" t="s">
        <v>2505</v>
      </c>
      <c r="B1251" s="2" t="s">
        <v>2506</v>
      </c>
    </row>
    <row r="1252" spans="1:2" x14ac:dyDescent="0.4">
      <c r="A1252" s="2" t="s">
        <v>2507</v>
      </c>
      <c r="B1252" s="2" t="s">
        <v>2508</v>
      </c>
    </row>
    <row r="1253" spans="1:2" x14ac:dyDescent="0.4">
      <c r="A1253" s="2" t="s">
        <v>2509</v>
      </c>
      <c r="B1253" s="2" t="s">
        <v>2510</v>
      </c>
    </row>
    <row r="1254" spans="1:2" x14ac:dyDescent="0.4">
      <c r="A1254" s="2" t="s">
        <v>2511</v>
      </c>
      <c r="B1254" s="2" t="s">
        <v>2512</v>
      </c>
    </row>
    <row r="1255" spans="1:2" x14ac:dyDescent="0.4">
      <c r="A1255" s="2" t="s">
        <v>2513</v>
      </c>
      <c r="B1255" s="2" t="s">
        <v>2514</v>
      </c>
    </row>
    <row r="1256" spans="1:2" x14ac:dyDescent="0.4">
      <c r="A1256" s="2" t="s">
        <v>2515</v>
      </c>
      <c r="B1256" s="2" t="s">
        <v>2516</v>
      </c>
    </row>
    <row r="1257" spans="1:2" x14ac:dyDescent="0.4">
      <c r="A1257" s="2" t="s">
        <v>2517</v>
      </c>
      <c r="B1257" s="2" t="s">
        <v>2518</v>
      </c>
    </row>
    <row r="1258" spans="1:2" x14ac:dyDescent="0.4">
      <c r="A1258" s="2" t="s">
        <v>2519</v>
      </c>
      <c r="B1258" s="2" t="s">
        <v>2520</v>
      </c>
    </row>
    <row r="1259" spans="1:2" x14ac:dyDescent="0.4">
      <c r="A1259" s="2" t="s">
        <v>2521</v>
      </c>
      <c r="B1259" s="2" t="s">
        <v>2522</v>
      </c>
    </row>
    <row r="1260" spans="1:2" x14ac:dyDescent="0.4">
      <c r="A1260" s="2" t="s">
        <v>2523</v>
      </c>
      <c r="B1260" s="2" t="s">
        <v>2524</v>
      </c>
    </row>
    <row r="1261" spans="1:2" x14ac:dyDescent="0.4">
      <c r="A1261" s="2" t="s">
        <v>2525</v>
      </c>
      <c r="B1261" s="2" t="s">
        <v>2526</v>
      </c>
    </row>
    <row r="1262" spans="1:2" x14ac:dyDescent="0.4">
      <c r="A1262" s="2" t="s">
        <v>2527</v>
      </c>
      <c r="B1262" s="2" t="s">
        <v>2528</v>
      </c>
    </row>
    <row r="1263" spans="1:2" x14ac:dyDescent="0.4">
      <c r="A1263" s="2" t="s">
        <v>2529</v>
      </c>
      <c r="B1263" s="2" t="s">
        <v>2530</v>
      </c>
    </row>
    <row r="1264" spans="1:2" x14ac:dyDescent="0.4">
      <c r="A1264" s="2" t="s">
        <v>2531</v>
      </c>
      <c r="B1264" s="2" t="s">
        <v>2532</v>
      </c>
    </row>
    <row r="1265" spans="1:2" x14ac:dyDescent="0.4">
      <c r="A1265" s="2" t="s">
        <v>2533</v>
      </c>
      <c r="B1265" s="2" t="s">
        <v>2534</v>
      </c>
    </row>
    <row r="1266" spans="1:2" x14ac:dyDescent="0.4">
      <c r="A1266" s="2" t="s">
        <v>2535</v>
      </c>
      <c r="B1266" s="2" t="s">
        <v>2536</v>
      </c>
    </row>
    <row r="1267" spans="1:2" x14ac:dyDescent="0.4">
      <c r="A1267" s="2" t="s">
        <v>2537</v>
      </c>
      <c r="B1267" s="2" t="s">
        <v>2538</v>
      </c>
    </row>
    <row r="1268" spans="1:2" x14ac:dyDescent="0.4">
      <c r="A1268" s="2" t="s">
        <v>2539</v>
      </c>
      <c r="B1268" s="2" t="s">
        <v>2540</v>
      </c>
    </row>
    <row r="1269" spans="1:2" x14ac:dyDescent="0.4">
      <c r="A1269" s="2" t="s">
        <v>2541</v>
      </c>
      <c r="B1269" s="2" t="s">
        <v>2542</v>
      </c>
    </row>
    <row r="1270" spans="1:2" x14ac:dyDescent="0.4">
      <c r="A1270" s="2" t="s">
        <v>2543</v>
      </c>
      <c r="B1270" s="2" t="s">
        <v>2544</v>
      </c>
    </row>
    <row r="1271" spans="1:2" x14ac:dyDescent="0.4">
      <c r="A1271" s="2" t="s">
        <v>2545</v>
      </c>
      <c r="B1271" s="2" t="s">
        <v>2546</v>
      </c>
    </row>
    <row r="1272" spans="1:2" x14ac:dyDescent="0.4">
      <c r="A1272" s="2" t="s">
        <v>2547</v>
      </c>
      <c r="B1272" s="2" t="s">
        <v>2548</v>
      </c>
    </row>
    <row r="1273" spans="1:2" x14ac:dyDescent="0.4">
      <c r="A1273" s="2" t="s">
        <v>2549</v>
      </c>
      <c r="B1273" s="2" t="s">
        <v>2550</v>
      </c>
    </row>
    <row r="1274" spans="1:2" x14ac:dyDescent="0.4">
      <c r="A1274" s="2" t="s">
        <v>2551</v>
      </c>
      <c r="B1274" s="2" t="s">
        <v>2552</v>
      </c>
    </row>
    <row r="1275" spans="1:2" x14ac:dyDescent="0.4">
      <c r="A1275" s="2" t="s">
        <v>2553</v>
      </c>
      <c r="B1275" s="2" t="s">
        <v>2554</v>
      </c>
    </row>
    <row r="1276" spans="1:2" x14ac:dyDescent="0.4">
      <c r="A1276" s="2" t="s">
        <v>2555</v>
      </c>
      <c r="B1276" s="2" t="s">
        <v>2556</v>
      </c>
    </row>
    <row r="1277" spans="1:2" x14ac:dyDescent="0.4">
      <c r="A1277" s="2" t="s">
        <v>2557</v>
      </c>
      <c r="B1277" s="2" t="s">
        <v>2558</v>
      </c>
    </row>
    <row r="1278" spans="1:2" x14ac:dyDescent="0.4">
      <c r="A1278" s="2" t="s">
        <v>2559</v>
      </c>
      <c r="B1278" s="2" t="s">
        <v>2560</v>
      </c>
    </row>
    <row r="1279" spans="1:2" x14ac:dyDescent="0.4">
      <c r="A1279" s="2" t="s">
        <v>2561</v>
      </c>
      <c r="B1279" s="2" t="s">
        <v>2562</v>
      </c>
    </row>
    <row r="1280" spans="1:2" x14ac:dyDescent="0.4">
      <c r="A1280" s="2" t="s">
        <v>2563</v>
      </c>
      <c r="B1280" s="2" t="s">
        <v>2564</v>
      </c>
    </row>
    <row r="1281" spans="1:2" x14ac:dyDescent="0.4">
      <c r="A1281" s="2" t="s">
        <v>2565</v>
      </c>
      <c r="B1281" s="2" t="s">
        <v>2566</v>
      </c>
    </row>
    <row r="1282" spans="1:2" x14ac:dyDescent="0.4">
      <c r="A1282" s="2" t="s">
        <v>2567</v>
      </c>
      <c r="B1282" s="2" t="s">
        <v>2568</v>
      </c>
    </row>
    <row r="1283" spans="1:2" x14ac:dyDescent="0.4">
      <c r="A1283" s="2" t="s">
        <v>2569</v>
      </c>
      <c r="B1283" s="2" t="s">
        <v>2570</v>
      </c>
    </row>
    <row r="1284" spans="1:2" x14ac:dyDescent="0.4">
      <c r="A1284" s="2" t="s">
        <v>2571</v>
      </c>
      <c r="B1284" s="2" t="s">
        <v>2572</v>
      </c>
    </row>
    <row r="1285" spans="1:2" x14ac:dyDescent="0.4">
      <c r="A1285" s="2" t="s">
        <v>2573</v>
      </c>
      <c r="B1285" s="2" t="s">
        <v>2574</v>
      </c>
    </row>
    <row r="1286" spans="1:2" x14ac:dyDescent="0.4">
      <c r="A1286" s="2" t="s">
        <v>2575</v>
      </c>
      <c r="B1286" s="2" t="s">
        <v>2576</v>
      </c>
    </row>
    <row r="1287" spans="1:2" x14ac:dyDescent="0.4">
      <c r="A1287" s="2" t="s">
        <v>2577</v>
      </c>
      <c r="B1287" s="2" t="s">
        <v>2578</v>
      </c>
    </row>
    <row r="1288" spans="1:2" x14ac:dyDescent="0.4">
      <c r="A1288" s="2" t="s">
        <v>2579</v>
      </c>
      <c r="B1288" s="2" t="s">
        <v>2580</v>
      </c>
    </row>
    <row r="1289" spans="1:2" x14ac:dyDescent="0.4">
      <c r="A1289" s="2" t="s">
        <v>2581</v>
      </c>
      <c r="B1289" s="2" t="s">
        <v>2582</v>
      </c>
    </row>
    <row r="1290" spans="1:2" x14ac:dyDescent="0.4">
      <c r="A1290" s="2" t="s">
        <v>2583</v>
      </c>
      <c r="B1290" s="2" t="s">
        <v>2584</v>
      </c>
    </row>
    <row r="1291" spans="1:2" x14ac:dyDescent="0.4">
      <c r="A1291" s="2" t="s">
        <v>2585</v>
      </c>
      <c r="B1291" s="2" t="s">
        <v>2586</v>
      </c>
    </row>
    <row r="1292" spans="1:2" x14ac:dyDescent="0.4">
      <c r="A1292" s="2" t="s">
        <v>2587</v>
      </c>
      <c r="B1292" s="2" t="s">
        <v>2588</v>
      </c>
    </row>
    <row r="1293" spans="1:2" x14ac:dyDescent="0.4">
      <c r="A1293" s="2" t="s">
        <v>2589</v>
      </c>
      <c r="B1293" s="2" t="s">
        <v>2590</v>
      </c>
    </row>
    <row r="1294" spans="1:2" x14ac:dyDescent="0.4">
      <c r="A1294" s="2" t="s">
        <v>2591</v>
      </c>
      <c r="B1294" s="2" t="s">
        <v>2592</v>
      </c>
    </row>
    <row r="1295" spans="1:2" x14ac:dyDescent="0.4">
      <c r="A1295" s="2" t="s">
        <v>2593</v>
      </c>
      <c r="B1295" s="2" t="s">
        <v>2594</v>
      </c>
    </row>
    <row r="1296" spans="1:2" x14ac:dyDescent="0.4">
      <c r="A1296" s="2" t="s">
        <v>2595</v>
      </c>
      <c r="B1296" s="2" t="s">
        <v>2596</v>
      </c>
    </row>
    <row r="1297" spans="1:2" x14ac:dyDescent="0.4">
      <c r="A1297" s="2" t="s">
        <v>2597</v>
      </c>
      <c r="B1297" s="2" t="s">
        <v>2598</v>
      </c>
    </row>
    <row r="1298" spans="1:2" x14ac:dyDescent="0.4">
      <c r="A1298" s="2" t="s">
        <v>2599</v>
      </c>
      <c r="B1298" s="2" t="s">
        <v>2600</v>
      </c>
    </row>
    <row r="1299" spans="1:2" x14ac:dyDescent="0.4">
      <c r="A1299" s="2" t="s">
        <v>2601</v>
      </c>
      <c r="B1299" s="2" t="s">
        <v>2602</v>
      </c>
    </row>
    <row r="1300" spans="1:2" x14ac:dyDescent="0.4">
      <c r="A1300" s="2" t="s">
        <v>2603</v>
      </c>
      <c r="B1300" s="2" t="s">
        <v>2604</v>
      </c>
    </row>
    <row r="1301" spans="1:2" x14ac:dyDescent="0.4">
      <c r="A1301" s="2" t="s">
        <v>2605</v>
      </c>
      <c r="B1301" s="2" t="s">
        <v>2606</v>
      </c>
    </row>
    <row r="1302" spans="1:2" x14ac:dyDescent="0.4">
      <c r="A1302" s="2" t="s">
        <v>2607</v>
      </c>
      <c r="B1302" s="2" t="s">
        <v>2608</v>
      </c>
    </row>
    <row r="1303" spans="1:2" x14ac:dyDescent="0.4">
      <c r="A1303" s="2" t="s">
        <v>2609</v>
      </c>
      <c r="B1303" s="2" t="s">
        <v>2610</v>
      </c>
    </row>
    <row r="1304" spans="1:2" x14ac:dyDescent="0.4">
      <c r="A1304" s="2" t="s">
        <v>2611</v>
      </c>
      <c r="B1304" s="2" t="s">
        <v>2612</v>
      </c>
    </row>
    <row r="1305" spans="1:2" x14ac:dyDescent="0.4">
      <c r="A1305" s="2" t="s">
        <v>2613</v>
      </c>
      <c r="B1305" s="2" t="s">
        <v>2614</v>
      </c>
    </row>
    <row r="1306" spans="1:2" x14ac:dyDescent="0.4">
      <c r="A1306" s="2" t="s">
        <v>2615</v>
      </c>
      <c r="B1306" s="2" t="s">
        <v>2616</v>
      </c>
    </row>
    <row r="1307" spans="1:2" x14ac:dyDescent="0.4">
      <c r="A1307" s="2" t="s">
        <v>2617</v>
      </c>
      <c r="B1307" s="2" t="s">
        <v>2618</v>
      </c>
    </row>
    <row r="1308" spans="1:2" x14ac:dyDescent="0.4">
      <c r="A1308" s="2" t="s">
        <v>2619</v>
      </c>
      <c r="B1308" s="2" t="s">
        <v>2620</v>
      </c>
    </row>
    <row r="1309" spans="1:2" x14ac:dyDescent="0.4">
      <c r="A1309" s="2" t="s">
        <v>2621</v>
      </c>
      <c r="B1309" s="2" t="s">
        <v>2622</v>
      </c>
    </row>
    <row r="1310" spans="1:2" x14ac:dyDescent="0.4">
      <c r="A1310" s="2" t="s">
        <v>2623</v>
      </c>
      <c r="B1310" s="2" t="s">
        <v>2624</v>
      </c>
    </row>
    <row r="1311" spans="1:2" x14ac:dyDescent="0.4">
      <c r="A1311" s="2" t="s">
        <v>2625</v>
      </c>
      <c r="B1311" s="2" t="s">
        <v>2626</v>
      </c>
    </row>
    <row r="1312" spans="1:2" x14ac:dyDescent="0.4">
      <c r="A1312" s="2" t="s">
        <v>2627</v>
      </c>
      <c r="B1312" s="2" t="s">
        <v>2628</v>
      </c>
    </row>
    <row r="1313" spans="1:2" x14ac:dyDescent="0.4">
      <c r="A1313" s="2" t="s">
        <v>2629</v>
      </c>
      <c r="B1313" s="2" t="s">
        <v>2630</v>
      </c>
    </row>
    <row r="1314" spans="1:2" x14ac:dyDescent="0.4">
      <c r="A1314" s="2" t="s">
        <v>2631</v>
      </c>
      <c r="B1314" s="2" t="s">
        <v>2632</v>
      </c>
    </row>
    <row r="1315" spans="1:2" x14ac:dyDescent="0.4">
      <c r="A1315" s="2" t="s">
        <v>2633</v>
      </c>
      <c r="B1315" s="2" t="s">
        <v>2634</v>
      </c>
    </row>
    <row r="1316" spans="1:2" x14ac:dyDescent="0.4">
      <c r="A1316" s="2" t="s">
        <v>2635</v>
      </c>
      <c r="B1316" s="2" t="s">
        <v>2636</v>
      </c>
    </row>
    <row r="1317" spans="1:2" x14ac:dyDescent="0.4">
      <c r="A1317" s="2" t="s">
        <v>2637</v>
      </c>
      <c r="B1317" s="2" t="s">
        <v>2638</v>
      </c>
    </row>
    <row r="1318" spans="1:2" x14ac:dyDescent="0.4">
      <c r="A1318" s="2" t="s">
        <v>2639</v>
      </c>
      <c r="B1318" s="2" t="s">
        <v>2640</v>
      </c>
    </row>
    <row r="1319" spans="1:2" x14ac:dyDescent="0.4">
      <c r="A1319" s="2" t="s">
        <v>2641</v>
      </c>
      <c r="B1319" s="2" t="s">
        <v>2642</v>
      </c>
    </row>
    <row r="1320" spans="1:2" x14ac:dyDescent="0.4">
      <c r="A1320" s="2" t="s">
        <v>2643</v>
      </c>
      <c r="B1320" s="2" t="s">
        <v>2644</v>
      </c>
    </row>
    <row r="1321" spans="1:2" x14ac:dyDescent="0.4">
      <c r="A1321" s="2" t="s">
        <v>2645</v>
      </c>
      <c r="B1321" s="2" t="s">
        <v>2646</v>
      </c>
    </row>
    <row r="1322" spans="1:2" x14ac:dyDescent="0.4">
      <c r="A1322" s="2" t="s">
        <v>2647</v>
      </c>
      <c r="B1322" s="2" t="s">
        <v>2648</v>
      </c>
    </row>
    <row r="1323" spans="1:2" x14ac:dyDescent="0.4">
      <c r="A1323" s="2" t="s">
        <v>2649</v>
      </c>
      <c r="B1323" s="2" t="s">
        <v>2650</v>
      </c>
    </row>
    <row r="1324" spans="1:2" x14ac:dyDescent="0.4">
      <c r="A1324" s="2" t="s">
        <v>2651</v>
      </c>
      <c r="B1324" s="2" t="s">
        <v>2652</v>
      </c>
    </row>
    <row r="1325" spans="1:2" x14ac:dyDescent="0.4">
      <c r="A1325" s="2" t="s">
        <v>2653</v>
      </c>
      <c r="B1325" s="2" t="s">
        <v>2654</v>
      </c>
    </row>
    <row r="1326" spans="1:2" x14ac:dyDescent="0.4">
      <c r="A1326" s="2" t="s">
        <v>2655</v>
      </c>
      <c r="B1326" s="2" t="s">
        <v>2656</v>
      </c>
    </row>
    <row r="1327" spans="1:2" x14ac:dyDescent="0.4">
      <c r="A1327" s="2" t="s">
        <v>2657</v>
      </c>
      <c r="B1327" s="2" t="s">
        <v>2658</v>
      </c>
    </row>
    <row r="1328" spans="1:2" x14ac:dyDescent="0.4">
      <c r="A1328" s="2" t="s">
        <v>2659</v>
      </c>
      <c r="B1328" s="2" t="s">
        <v>2660</v>
      </c>
    </row>
    <row r="1329" spans="1:2" x14ac:dyDescent="0.4">
      <c r="A1329" s="2" t="s">
        <v>2661</v>
      </c>
      <c r="B1329" s="2" t="s">
        <v>2662</v>
      </c>
    </row>
    <row r="1330" spans="1:2" x14ac:dyDescent="0.4">
      <c r="A1330" s="2" t="s">
        <v>2663</v>
      </c>
      <c r="B1330" s="2" t="s">
        <v>2664</v>
      </c>
    </row>
    <row r="1331" spans="1:2" x14ac:dyDescent="0.4">
      <c r="A1331" s="2" t="s">
        <v>2665</v>
      </c>
      <c r="B1331" s="2" t="s">
        <v>2666</v>
      </c>
    </row>
    <row r="1332" spans="1:2" x14ac:dyDescent="0.4">
      <c r="A1332" s="2" t="s">
        <v>2667</v>
      </c>
      <c r="B1332" s="2" t="s">
        <v>2668</v>
      </c>
    </row>
    <row r="1333" spans="1:2" x14ac:dyDescent="0.4">
      <c r="A1333" s="2" t="s">
        <v>2669</v>
      </c>
      <c r="B1333" s="2" t="s">
        <v>2670</v>
      </c>
    </row>
    <row r="1334" spans="1:2" x14ac:dyDescent="0.4">
      <c r="A1334" s="2" t="s">
        <v>2671</v>
      </c>
      <c r="B1334" s="2" t="s">
        <v>2672</v>
      </c>
    </row>
    <row r="1335" spans="1:2" x14ac:dyDescent="0.4">
      <c r="A1335" s="2" t="s">
        <v>2673</v>
      </c>
      <c r="B1335" s="2" t="s">
        <v>2674</v>
      </c>
    </row>
    <row r="1336" spans="1:2" x14ac:dyDescent="0.4">
      <c r="A1336" s="2" t="s">
        <v>2675</v>
      </c>
      <c r="B1336" s="2" t="s">
        <v>2676</v>
      </c>
    </row>
    <row r="1337" spans="1:2" x14ac:dyDescent="0.4">
      <c r="A1337" s="2" t="s">
        <v>2677</v>
      </c>
      <c r="B1337" s="2" t="s">
        <v>2678</v>
      </c>
    </row>
    <row r="1338" spans="1:2" x14ac:dyDescent="0.4">
      <c r="A1338" s="2" t="s">
        <v>2679</v>
      </c>
      <c r="B1338" s="2" t="s">
        <v>2680</v>
      </c>
    </row>
    <row r="1339" spans="1:2" x14ac:dyDescent="0.4">
      <c r="A1339" s="2" t="s">
        <v>2681</v>
      </c>
      <c r="B1339" s="2" t="s">
        <v>2682</v>
      </c>
    </row>
    <row r="1340" spans="1:2" x14ac:dyDescent="0.4">
      <c r="A1340" s="2" t="s">
        <v>2683</v>
      </c>
      <c r="B1340" s="2" t="s">
        <v>2684</v>
      </c>
    </row>
    <row r="1341" spans="1:2" x14ac:dyDescent="0.4">
      <c r="A1341" s="2" t="s">
        <v>2685</v>
      </c>
      <c r="B1341" s="2" t="s">
        <v>2686</v>
      </c>
    </row>
    <row r="1342" spans="1:2" x14ac:dyDescent="0.4">
      <c r="A1342" s="2" t="s">
        <v>2687</v>
      </c>
      <c r="B1342" s="2" t="s">
        <v>2688</v>
      </c>
    </row>
    <row r="1343" spans="1:2" x14ac:dyDescent="0.4">
      <c r="A1343" s="2" t="s">
        <v>2689</v>
      </c>
      <c r="B1343" s="2" t="s">
        <v>2690</v>
      </c>
    </row>
    <row r="1344" spans="1:2" x14ac:dyDescent="0.4">
      <c r="A1344" s="2" t="s">
        <v>2691</v>
      </c>
      <c r="B1344" s="2" t="s">
        <v>2692</v>
      </c>
    </row>
    <row r="1345" spans="1:2" x14ac:dyDescent="0.4">
      <c r="A1345" s="2" t="s">
        <v>2693</v>
      </c>
      <c r="B1345" s="2" t="s">
        <v>2694</v>
      </c>
    </row>
    <row r="1346" spans="1:2" x14ac:dyDescent="0.4">
      <c r="A1346" s="2" t="s">
        <v>2695</v>
      </c>
      <c r="B1346" s="2" t="s">
        <v>2696</v>
      </c>
    </row>
    <row r="1347" spans="1:2" x14ac:dyDescent="0.4">
      <c r="A1347" s="2" t="s">
        <v>2697</v>
      </c>
      <c r="B1347" s="2" t="s">
        <v>2698</v>
      </c>
    </row>
    <row r="1348" spans="1:2" x14ac:dyDescent="0.4">
      <c r="A1348" s="2" t="s">
        <v>2699</v>
      </c>
      <c r="B1348" s="2" t="s">
        <v>2700</v>
      </c>
    </row>
    <row r="1349" spans="1:2" x14ac:dyDescent="0.4">
      <c r="A1349" s="2" t="s">
        <v>2701</v>
      </c>
      <c r="B1349" s="2" t="s">
        <v>2702</v>
      </c>
    </row>
    <row r="1350" spans="1:2" x14ac:dyDescent="0.4">
      <c r="A1350" s="2" t="s">
        <v>2703</v>
      </c>
      <c r="B1350" s="2" t="s">
        <v>2704</v>
      </c>
    </row>
    <row r="1351" spans="1:2" x14ac:dyDescent="0.4">
      <c r="A1351" s="2" t="s">
        <v>2705</v>
      </c>
      <c r="B1351" s="2" t="s">
        <v>2706</v>
      </c>
    </row>
    <row r="1352" spans="1:2" x14ac:dyDescent="0.4">
      <c r="A1352" s="2" t="s">
        <v>2707</v>
      </c>
      <c r="B1352" s="2" t="s">
        <v>2708</v>
      </c>
    </row>
    <row r="1353" spans="1:2" x14ac:dyDescent="0.4">
      <c r="A1353" s="2" t="s">
        <v>2709</v>
      </c>
      <c r="B1353" s="2" t="s">
        <v>2710</v>
      </c>
    </row>
    <row r="1354" spans="1:2" x14ac:dyDescent="0.4">
      <c r="A1354" s="2" t="s">
        <v>3</v>
      </c>
      <c r="B1354" s="2" t="s">
        <v>2711</v>
      </c>
    </row>
    <row r="1355" spans="1:2" x14ac:dyDescent="0.4">
      <c r="A1355" s="2" t="s">
        <v>2712</v>
      </c>
      <c r="B1355" s="2" t="s">
        <v>2713</v>
      </c>
    </row>
    <row r="1356" spans="1:2" x14ac:dyDescent="0.4">
      <c r="A1356" s="2" t="s">
        <v>2714</v>
      </c>
      <c r="B1356" s="2" t="s">
        <v>2715</v>
      </c>
    </row>
    <row r="1357" spans="1:2" x14ac:dyDescent="0.4">
      <c r="A1357" s="2" t="s">
        <v>2716</v>
      </c>
      <c r="B1357" s="2" t="s">
        <v>2717</v>
      </c>
    </row>
    <row r="1358" spans="1:2" x14ac:dyDescent="0.4">
      <c r="A1358" s="2" t="s">
        <v>2718</v>
      </c>
      <c r="B1358" s="2" t="s">
        <v>2719</v>
      </c>
    </row>
    <row r="1359" spans="1:2" x14ac:dyDescent="0.4">
      <c r="A1359" s="2" t="s">
        <v>2720</v>
      </c>
      <c r="B1359" s="2" t="s">
        <v>2721</v>
      </c>
    </row>
    <row r="1360" spans="1:2" x14ac:dyDescent="0.4">
      <c r="A1360" s="2" t="s">
        <v>2722</v>
      </c>
      <c r="B1360" s="2" t="s">
        <v>2723</v>
      </c>
    </row>
    <row r="1361" spans="1:2" x14ac:dyDescent="0.4">
      <c r="A1361" s="2" t="s">
        <v>2724</v>
      </c>
      <c r="B1361" s="2" t="s">
        <v>2725</v>
      </c>
    </row>
    <row r="1362" spans="1:2" x14ac:dyDescent="0.4">
      <c r="A1362" s="2" t="s">
        <v>2726</v>
      </c>
      <c r="B1362" s="2" t="s">
        <v>2727</v>
      </c>
    </row>
    <row r="1363" spans="1:2" x14ac:dyDescent="0.4">
      <c r="A1363" s="2" t="s">
        <v>2728</v>
      </c>
      <c r="B1363" s="2" t="s">
        <v>2729</v>
      </c>
    </row>
    <row r="1364" spans="1:2" x14ac:dyDescent="0.4">
      <c r="A1364" s="2" t="s">
        <v>2730</v>
      </c>
      <c r="B1364" s="2" t="s">
        <v>2731</v>
      </c>
    </row>
    <row r="1365" spans="1:2" x14ac:dyDescent="0.4">
      <c r="A1365" s="2" t="s">
        <v>2732</v>
      </c>
      <c r="B1365" s="2" t="s">
        <v>2733</v>
      </c>
    </row>
    <row r="1366" spans="1:2" x14ac:dyDescent="0.4">
      <c r="A1366" s="2" t="s">
        <v>2734</v>
      </c>
      <c r="B1366" s="2" t="s">
        <v>2735</v>
      </c>
    </row>
    <row r="1367" spans="1:2" x14ac:dyDescent="0.4">
      <c r="A1367" s="2" t="s">
        <v>2736</v>
      </c>
      <c r="B1367" s="2" t="s">
        <v>2737</v>
      </c>
    </row>
    <row r="1368" spans="1:2" x14ac:dyDescent="0.4">
      <c r="A1368" s="2" t="s">
        <v>2738</v>
      </c>
      <c r="B1368" s="2" t="s">
        <v>2739</v>
      </c>
    </row>
    <row r="1369" spans="1:2" x14ac:dyDescent="0.4">
      <c r="A1369" s="2" t="s">
        <v>2740</v>
      </c>
      <c r="B1369" s="2" t="s">
        <v>2741</v>
      </c>
    </row>
    <row r="1370" spans="1:2" x14ac:dyDescent="0.4">
      <c r="A1370" s="2" t="s">
        <v>2742</v>
      </c>
      <c r="B1370" s="2" t="s">
        <v>2743</v>
      </c>
    </row>
    <row r="1371" spans="1:2" x14ac:dyDescent="0.4">
      <c r="A1371" s="2" t="s">
        <v>2744</v>
      </c>
      <c r="B1371" s="2" t="s">
        <v>2745</v>
      </c>
    </row>
    <row r="1372" spans="1:2" x14ac:dyDescent="0.4">
      <c r="A1372" s="2" t="s">
        <v>2746</v>
      </c>
      <c r="B1372" s="2" t="s">
        <v>2747</v>
      </c>
    </row>
    <row r="1373" spans="1:2" x14ac:dyDescent="0.4">
      <c r="A1373" s="2" t="s">
        <v>2748</v>
      </c>
      <c r="B1373" s="2" t="s">
        <v>2749</v>
      </c>
    </row>
    <row r="1374" spans="1:2" x14ac:dyDescent="0.4">
      <c r="A1374" s="2" t="s">
        <v>2750</v>
      </c>
      <c r="B1374" s="2" t="s">
        <v>2751</v>
      </c>
    </row>
    <row r="1375" spans="1:2" x14ac:dyDescent="0.4">
      <c r="A1375" s="2" t="s">
        <v>2752</v>
      </c>
      <c r="B1375" s="2" t="s">
        <v>2753</v>
      </c>
    </row>
    <row r="1376" spans="1:2" x14ac:dyDescent="0.4">
      <c r="A1376" s="2" t="s">
        <v>2754</v>
      </c>
      <c r="B1376" s="2" t="s">
        <v>2755</v>
      </c>
    </row>
    <row r="1377" spans="1:2" x14ac:dyDescent="0.4">
      <c r="A1377" s="2" t="s">
        <v>2756</v>
      </c>
      <c r="B1377" s="2" t="s">
        <v>2757</v>
      </c>
    </row>
    <row r="1378" spans="1:2" x14ac:dyDescent="0.4">
      <c r="A1378" s="2" t="s">
        <v>2758</v>
      </c>
      <c r="B1378" s="2" t="s">
        <v>2759</v>
      </c>
    </row>
    <row r="1379" spans="1:2" x14ac:dyDescent="0.4">
      <c r="A1379" s="2" t="s">
        <v>2760</v>
      </c>
      <c r="B1379" s="2" t="s">
        <v>2761</v>
      </c>
    </row>
    <row r="1380" spans="1:2" x14ac:dyDescent="0.4">
      <c r="A1380" s="2" t="s">
        <v>2762</v>
      </c>
      <c r="B1380" s="2" t="s">
        <v>2763</v>
      </c>
    </row>
    <row r="1381" spans="1:2" x14ac:dyDescent="0.4">
      <c r="A1381" s="2" t="s">
        <v>2764</v>
      </c>
      <c r="B1381" s="2" t="s">
        <v>2765</v>
      </c>
    </row>
    <row r="1382" spans="1:2" x14ac:dyDescent="0.4">
      <c r="A1382" s="2" t="s">
        <v>2766</v>
      </c>
      <c r="B1382" s="2" t="s">
        <v>2767</v>
      </c>
    </row>
    <row r="1383" spans="1:2" x14ac:dyDescent="0.4">
      <c r="A1383" s="2" t="s">
        <v>2768</v>
      </c>
      <c r="B1383" s="2" t="s">
        <v>2769</v>
      </c>
    </row>
    <row r="1384" spans="1:2" x14ac:dyDescent="0.4">
      <c r="A1384" s="2" t="s">
        <v>2770</v>
      </c>
      <c r="B1384" s="2" t="s">
        <v>2771</v>
      </c>
    </row>
    <row r="1385" spans="1:2" x14ac:dyDescent="0.4">
      <c r="A1385" s="2" t="s">
        <v>2772</v>
      </c>
      <c r="B1385" s="2" t="s">
        <v>2773</v>
      </c>
    </row>
    <row r="1386" spans="1:2" x14ac:dyDescent="0.4">
      <c r="A1386" s="2" t="s">
        <v>2774</v>
      </c>
      <c r="B1386" s="2" t="s">
        <v>2775</v>
      </c>
    </row>
    <row r="1387" spans="1:2" x14ac:dyDescent="0.4">
      <c r="A1387" s="2" t="s">
        <v>2776</v>
      </c>
      <c r="B1387" s="2" t="s">
        <v>2777</v>
      </c>
    </row>
    <row r="1388" spans="1:2" x14ac:dyDescent="0.4">
      <c r="A1388" s="2" t="s">
        <v>2778</v>
      </c>
      <c r="B1388" s="2" t="s">
        <v>2779</v>
      </c>
    </row>
    <row r="1389" spans="1:2" x14ac:dyDescent="0.4">
      <c r="A1389" s="2" t="s">
        <v>2780</v>
      </c>
      <c r="B1389" s="2" t="s">
        <v>2781</v>
      </c>
    </row>
    <row r="1390" spans="1:2" x14ac:dyDescent="0.4">
      <c r="A1390" s="2" t="s">
        <v>2782</v>
      </c>
      <c r="B1390" s="2" t="s">
        <v>2783</v>
      </c>
    </row>
    <row r="1391" spans="1:2" x14ac:dyDescent="0.4">
      <c r="A1391" s="2" t="s">
        <v>2784</v>
      </c>
      <c r="B1391" s="2" t="s">
        <v>2785</v>
      </c>
    </row>
    <row r="1392" spans="1:2" x14ac:dyDescent="0.4">
      <c r="A1392" s="2" t="s">
        <v>2786</v>
      </c>
      <c r="B1392" s="2" t="s">
        <v>2787</v>
      </c>
    </row>
    <row r="1393" spans="1:2" x14ac:dyDescent="0.4">
      <c r="A1393" s="2" t="s">
        <v>2788</v>
      </c>
      <c r="B1393" s="2" t="s">
        <v>2789</v>
      </c>
    </row>
    <row r="1394" spans="1:2" x14ac:dyDescent="0.4">
      <c r="A1394" s="2" t="s">
        <v>2790</v>
      </c>
      <c r="B1394" s="2" t="s">
        <v>2791</v>
      </c>
    </row>
    <row r="1395" spans="1:2" x14ac:dyDescent="0.4">
      <c r="A1395" s="2" t="s">
        <v>2792</v>
      </c>
      <c r="B1395" s="2" t="s">
        <v>2793</v>
      </c>
    </row>
    <row r="1396" spans="1:2" x14ac:dyDescent="0.4">
      <c r="A1396" s="2" t="s">
        <v>2794</v>
      </c>
      <c r="B1396" s="2" t="s">
        <v>2795</v>
      </c>
    </row>
    <row r="1397" spans="1:2" x14ac:dyDescent="0.4">
      <c r="A1397" s="2" t="s">
        <v>2796</v>
      </c>
      <c r="B1397" s="2" t="s">
        <v>2797</v>
      </c>
    </row>
    <row r="1398" spans="1:2" x14ac:dyDescent="0.4">
      <c r="A1398" s="2" t="s">
        <v>2798</v>
      </c>
      <c r="B1398" s="2" t="s">
        <v>2799</v>
      </c>
    </row>
    <row r="1399" spans="1:2" x14ac:dyDescent="0.4">
      <c r="A1399" s="2" t="s">
        <v>2800</v>
      </c>
      <c r="B1399" s="2" t="s">
        <v>2801</v>
      </c>
    </row>
    <row r="1400" spans="1:2" x14ac:dyDescent="0.4">
      <c r="A1400" s="2" t="s">
        <v>2802</v>
      </c>
      <c r="B1400" s="2" t="s">
        <v>2803</v>
      </c>
    </row>
    <row r="1401" spans="1:2" x14ac:dyDescent="0.4">
      <c r="A1401" s="2" t="s">
        <v>2804</v>
      </c>
      <c r="B1401" s="2" t="s">
        <v>2805</v>
      </c>
    </row>
    <row r="1402" spans="1:2" x14ac:dyDescent="0.4">
      <c r="A1402" s="2" t="s">
        <v>2806</v>
      </c>
      <c r="B1402" s="2" t="s">
        <v>2807</v>
      </c>
    </row>
    <row r="1403" spans="1:2" x14ac:dyDescent="0.4">
      <c r="A1403" s="2" t="s">
        <v>2808</v>
      </c>
      <c r="B1403" s="2" t="s">
        <v>2809</v>
      </c>
    </row>
    <row r="1404" spans="1:2" x14ac:dyDescent="0.4">
      <c r="A1404" s="2" t="s">
        <v>2810</v>
      </c>
      <c r="B1404" s="2" t="s">
        <v>2811</v>
      </c>
    </row>
    <row r="1405" spans="1:2" x14ac:dyDescent="0.4">
      <c r="A1405" s="2" t="s">
        <v>2812</v>
      </c>
      <c r="B1405" s="2" t="s">
        <v>2813</v>
      </c>
    </row>
    <row r="1406" spans="1:2" x14ac:dyDescent="0.4">
      <c r="A1406" s="2" t="s">
        <v>2814</v>
      </c>
      <c r="B1406" s="2" t="s">
        <v>2815</v>
      </c>
    </row>
    <row r="1407" spans="1:2" x14ac:dyDescent="0.4">
      <c r="A1407" s="2" t="s">
        <v>2816</v>
      </c>
      <c r="B1407" s="2" t="s">
        <v>2817</v>
      </c>
    </row>
    <row r="1408" spans="1:2" x14ac:dyDescent="0.4">
      <c r="A1408" s="2" t="s">
        <v>2818</v>
      </c>
      <c r="B1408" s="2" t="s">
        <v>2819</v>
      </c>
    </row>
    <row r="1409" spans="1:2" x14ac:dyDescent="0.4">
      <c r="A1409" s="2" t="s">
        <v>2820</v>
      </c>
      <c r="B1409" s="2" t="s">
        <v>2821</v>
      </c>
    </row>
    <row r="1410" spans="1:2" x14ac:dyDescent="0.4">
      <c r="A1410" s="2" t="s">
        <v>2822</v>
      </c>
      <c r="B1410" s="2" t="s">
        <v>2823</v>
      </c>
    </row>
    <row r="1411" spans="1:2" x14ac:dyDescent="0.4">
      <c r="A1411" s="2" t="s">
        <v>2824</v>
      </c>
      <c r="B1411" s="2" t="s">
        <v>2825</v>
      </c>
    </row>
    <row r="1412" spans="1:2" x14ac:dyDescent="0.4">
      <c r="A1412" s="2" t="s">
        <v>2826</v>
      </c>
      <c r="B1412" s="2" t="s">
        <v>2827</v>
      </c>
    </row>
    <row r="1413" spans="1:2" x14ac:dyDescent="0.4">
      <c r="A1413" s="2" t="s">
        <v>2828</v>
      </c>
      <c r="B1413" s="2" t="s">
        <v>2829</v>
      </c>
    </row>
    <row r="1414" spans="1:2" x14ac:dyDescent="0.4">
      <c r="A1414" s="2" t="s">
        <v>2830</v>
      </c>
      <c r="B1414" s="2" t="s">
        <v>2831</v>
      </c>
    </row>
    <row r="1415" spans="1:2" x14ac:dyDescent="0.4">
      <c r="A1415" s="2" t="s">
        <v>2832</v>
      </c>
      <c r="B1415" s="2" t="s">
        <v>2833</v>
      </c>
    </row>
    <row r="1416" spans="1:2" x14ac:dyDescent="0.4">
      <c r="A1416" s="2" t="s">
        <v>2834</v>
      </c>
      <c r="B1416" s="2" t="s">
        <v>2835</v>
      </c>
    </row>
    <row r="1417" spans="1:2" x14ac:dyDescent="0.4">
      <c r="A1417" s="2" t="s">
        <v>2836</v>
      </c>
      <c r="B1417" s="2" t="s">
        <v>2837</v>
      </c>
    </row>
    <row r="1418" spans="1:2" x14ac:dyDescent="0.4">
      <c r="A1418" s="2" t="s">
        <v>2838</v>
      </c>
      <c r="B1418" s="2" t="s">
        <v>2839</v>
      </c>
    </row>
    <row r="1419" spans="1:2" x14ac:dyDescent="0.4">
      <c r="A1419" s="2" t="s">
        <v>2840</v>
      </c>
      <c r="B1419" s="2" t="s">
        <v>2841</v>
      </c>
    </row>
    <row r="1420" spans="1:2" x14ac:dyDescent="0.4">
      <c r="A1420" s="2" t="s">
        <v>2842</v>
      </c>
      <c r="B1420" s="2" t="s">
        <v>2843</v>
      </c>
    </row>
    <row r="1421" spans="1:2" x14ac:dyDescent="0.4">
      <c r="A1421" s="2" t="s">
        <v>2844</v>
      </c>
      <c r="B1421" s="2" t="s">
        <v>2845</v>
      </c>
    </row>
    <row r="1422" spans="1:2" x14ac:dyDescent="0.4">
      <c r="A1422" s="2" t="s">
        <v>2846</v>
      </c>
      <c r="B1422" s="2" t="s">
        <v>2847</v>
      </c>
    </row>
    <row r="1423" spans="1:2" x14ac:dyDescent="0.4">
      <c r="A1423" s="2" t="s">
        <v>2848</v>
      </c>
      <c r="B1423" s="2" t="s">
        <v>2849</v>
      </c>
    </row>
    <row r="1424" spans="1:2" x14ac:dyDescent="0.4">
      <c r="A1424" s="2" t="s">
        <v>2850</v>
      </c>
      <c r="B1424" s="2" t="s">
        <v>2851</v>
      </c>
    </row>
    <row r="1425" spans="1:2" x14ac:dyDescent="0.4">
      <c r="A1425" s="2" t="s">
        <v>2852</v>
      </c>
      <c r="B1425" s="2" t="s">
        <v>2853</v>
      </c>
    </row>
    <row r="1426" spans="1:2" x14ac:dyDescent="0.4">
      <c r="A1426" s="2" t="s">
        <v>2854</v>
      </c>
      <c r="B1426" s="2" t="s">
        <v>2855</v>
      </c>
    </row>
    <row r="1427" spans="1:2" x14ac:dyDescent="0.4">
      <c r="A1427" s="2" t="s">
        <v>2856</v>
      </c>
      <c r="B1427" s="2" t="s">
        <v>2857</v>
      </c>
    </row>
    <row r="1428" spans="1:2" x14ac:dyDescent="0.4">
      <c r="A1428" s="2" t="s">
        <v>2858</v>
      </c>
      <c r="B1428" s="2" t="s">
        <v>2859</v>
      </c>
    </row>
    <row r="1429" spans="1:2" x14ac:dyDescent="0.4">
      <c r="A1429" s="2" t="s">
        <v>2860</v>
      </c>
      <c r="B1429" s="2" t="s">
        <v>2861</v>
      </c>
    </row>
    <row r="1430" spans="1:2" x14ac:dyDescent="0.4">
      <c r="A1430" s="2" t="s">
        <v>2862</v>
      </c>
      <c r="B1430" s="2" t="s">
        <v>2863</v>
      </c>
    </row>
    <row r="1431" spans="1:2" x14ac:dyDescent="0.4">
      <c r="A1431" s="2" t="s">
        <v>2864</v>
      </c>
      <c r="B1431" s="2" t="s">
        <v>2865</v>
      </c>
    </row>
    <row r="1432" spans="1:2" x14ac:dyDescent="0.4">
      <c r="A1432" s="2" t="s">
        <v>2866</v>
      </c>
      <c r="B1432" s="2" t="s">
        <v>2867</v>
      </c>
    </row>
    <row r="1433" spans="1:2" x14ac:dyDescent="0.4">
      <c r="A1433" s="2" t="s">
        <v>2868</v>
      </c>
      <c r="B1433" s="2" t="s">
        <v>2869</v>
      </c>
    </row>
    <row r="1434" spans="1:2" x14ac:dyDescent="0.4">
      <c r="A1434" s="2" t="s">
        <v>2870</v>
      </c>
      <c r="B1434" s="2" t="s">
        <v>2871</v>
      </c>
    </row>
    <row r="1435" spans="1:2" x14ac:dyDescent="0.4">
      <c r="A1435" s="2" t="s">
        <v>2872</v>
      </c>
      <c r="B1435" s="2" t="s">
        <v>2873</v>
      </c>
    </row>
    <row r="1436" spans="1:2" x14ac:dyDescent="0.4">
      <c r="A1436" s="2" t="s">
        <v>2874</v>
      </c>
      <c r="B1436" s="2" t="s">
        <v>2875</v>
      </c>
    </row>
    <row r="1437" spans="1:2" x14ac:dyDescent="0.4">
      <c r="A1437" s="2" t="s">
        <v>2876</v>
      </c>
      <c r="B1437" s="2" t="s">
        <v>2877</v>
      </c>
    </row>
    <row r="1438" spans="1:2" x14ac:dyDescent="0.4">
      <c r="A1438" s="2" t="s">
        <v>2878</v>
      </c>
      <c r="B1438" s="2" t="s">
        <v>2879</v>
      </c>
    </row>
    <row r="1439" spans="1:2" x14ac:dyDescent="0.4">
      <c r="A1439" s="2" t="s">
        <v>2880</v>
      </c>
      <c r="B1439" s="2" t="s">
        <v>2881</v>
      </c>
    </row>
    <row r="1440" spans="1:2" x14ac:dyDescent="0.4">
      <c r="A1440" s="2" t="s">
        <v>2882</v>
      </c>
      <c r="B1440" s="2" t="s">
        <v>2883</v>
      </c>
    </row>
    <row r="1441" spans="1:2" x14ac:dyDescent="0.4">
      <c r="A1441" s="2" t="s">
        <v>2884</v>
      </c>
      <c r="B1441" s="2" t="s">
        <v>2885</v>
      </c>
    </row>
    <row r="1442" spans="1:2" x14ac:dyDescent="0.4">
      <c r="A1442" s="2" t="s">
        <v>2886</v>
      </c>
      <c r="B1442" s="2" t="s">
        <v>2887</v>
      </c>
    </row>
    <row r="1443" spans="1:2" x14ac:dyDescent="0.4">
      <c r="A1443" s="2" t="s">
        <v>2888</v>
      </c>
      <c r="B1443" s="2" t="s">
        <v>2889</v>
      </c>
    </row>
    <row r="1444" spans="1:2" x14ac:dyDescent="0.4">
      <c r="A1444" s="2" t="s">
        <v>2890</v>
      </c>
      <c r="B1444" s="2" t="s">
        <v>2891</v>
      </c>
    </row>
    <row r="1445" spans="1:2" x14ac:dyDescent="0.4">
      <c r="A1445" s="2" t="s">
        <v>2892</v>
      </c>
      <c r="B1445" s="2" t="s">
        <v>2893</v>
      </c>
    </row>
    <row r="1446" spans="1:2" x14ac:dyDescent="0.4">
      <c r="A1446" s="2" t="s">
        <v>2894</v>
      </c>
      <c r="B1446" s="2" t="s">
        <v>2895</v>
      </c>
    </row>
    <row r="1447" spans="1:2" x14ac:dyDescent="0.4">
      <c r="A1447" s="2" t="s">
        <v>2896</v>
      </c>
      <c r="B1447" s="2" t="s">
        <v>2897</v>
      </c>
    </row>
    <row r="1448" spans="1:2" x14ac:dyDescent="0.4">
      <c r="A1448" s="2" t="s">
        <v>2898</v>
      </c>
      <c r="B1448" s="2" t="s">
        <v>2899</v>
      </c>
    </row>
    <row r="1449" spans="1:2" x14ac:dyDescent="0.4">
      <c r="A1449" s="2" t="s">
        <v>2900</v>
      </c>
      <c r="B1449" s="2" t="s">
        <v>2901</v>
      </c>
    </row>
    <row r="1450" spans="1:2" x14ac:dyDescent="0.4">
      <c r="A1450" s="2" t="s">
        <v>2902</v>
      </c>
      <c r="B1450" s="2" t="s">
        <v>2903</v>
      </c>
    </row>
    <row r="1451" spans="1:2" x14ac:dyDescent="0.4">
      <c r="A1451" s="2" t="s">
        <v>2904</v>
      </c>
      <c r="B1451" s="2" t="s">
        <v>2905</v>
      </c>
    </row>
    <row r="1452" spans="1:2" x14ac:dyDescent="0.4">
      <c r="A1452" s="2" t="s">
        <v>2906</v>
      </c>
      <c r="B1452" s="2" t="s">
        <v>2907</v>
      </c>
    </row>
    <row r="1453" spans="1:2" x14ac:dyDescent="0.4">
      <c r="A1453" s="2" t="s">
        <v>2908</v>
      </c>
      <c r="B1453" s="2" t="s">
        <v>2909</v>
      </c>
    </row>
    <row r="1454" spans="1:2" x14ac:dyDescent="0.4">
      <c r="A1454" s="2" t="s">
        <v>2910</v>
      </c>
      <c r="B1454" s="2" t="s">
        <v>2911</v>
      </c>
    </row>
    <row r="1455" spans="1:2" x14ac:dyDescent="0.4">
      <c r="A1455" s="2" t="s">
        <v>2912</v>
      </c>
      <c r="B1455" s="2" t="s">
        <v>2913</v>
      </c>
    </row>
    <row r="1456" spans="1:2" x14ac:dyDescent="0.4">
      <c r="A1456" s="2" t="s">
        <v>2914</v>
      </c>
      <c r="B1456" s="2" t="s">
        <v>2915</v>
      </c>
    </row>
    <row r="1457" spans="1:2" x14ac:dyDescent="0.4">
      <c r="A1457" s="2" t="s">
        <v>2916</v>
      </c>
      <c r="B1457" s="2" t="s">
        <v>2917</v>
      </c>
    </row>
    <row r="1458" spans="1:2" x14ac:dyDescent="0.4">
      <c r="A1458" s="2" t="s">
        <v>2918</v>
      </c>
      <c r="B1458" s="2" t="s">
        <v>2919</v>
      </c>
    </row>
    <row r="1459" spans="1:2" x14ac:dyDescent="0.4">
      <c r="A1459" s="2" t="s">
        <v>2920</v>
      </c>
      <c r="B1459" s="2" t="s">
        <v>2921</v>
      </c>
    </row>
    <row r="1460" spans="1:2" x14ac:dyDescent="0.4">
      <c r="A1460" s="2" t="s">
        <v>2922</v>
      </c>
      <c r="B1460" s="2" t="s">
        <v>2923</v>
      </c>
    </row>
    <row r="1461" spans="1:2" x14ac:dyDescent="0.4">
      <c r="A1461" s="2" t="s">
        <v>2924</v>
      </c>
      <c r="B1461" s="2" t="s">
        <v>2925</v>
      </c>
    </row>
    <row r="1462" spans="1:2" x14ac:dyDescent="0.4">
      <c r="A1462" s="2" t="s">
        <v>2926</v>
      </c>
      <c r="B1462" s="2" t="s">
        <v>2927</v>
      </c>
    </row>
    <row r="1463" spans="1:2" x14ac:dyDescent="0.4">
      <c r="A1463" s="2" t="s">
        <v>2928</v>
      </c>
      <c r="B1463" s="2" t="s">
        <v>2929</v>
      </c>
    </row>
    <row r="1464" spans="1:2" x14ac:dyDescent="0.4">
      <c r="A1464" s="2" t="s">
        <v>2930</v>
      </c>
      <c r="B1464" s="2" t="s">
        <v>2931</v>
      </c>
    </row>
    <row r="1465" spans="1:2" x14ac:dyDescent="0.4">
      <c r="A1465" s="2" t="s">
        <v>2932</v>
      </c>
      <c r="B1465" s="2" t="s">
        <v>2933</v>
      </c>
    </row>
    <row r="1466" spans="1:2" x14ac:dyDescent="0.4">
      <c r="A1466" s="2" t="s">
        <v>2934</v>
      </c>
      <c r="B1466" s="2" t="s">
        <v>2935</v>
      </c>
    </row>
    <row r="1467" spans="1:2" x14ac:dyDescent="0.4">
      <c r="A1467" s="2" t="s">
        <v>2936</v>
      </c>
      <c r="B1467" s="2" t="s">
        <v>2937</v>
      </c>
    </row>
    <row r="1468" spans="1:2" x14ac:dyDescent="0.4">
      <c r="A1468" s="2" t="s">
        <v>2938</v>
      </c>
      <c r="B1468" s="2" t="s">
        <v>2939</v>
      </c>
    </row>
    <row r="1469" spans="1:2" x14ac:dyDescent="0.4">
      <c r="A1469" s="2" t="s">
        <v>2940</v>
      </c>
      <c r="B1469" s="2" t="s">
        <v>2941</v>
      </c>
    </row>
    <row r="1470" spans="1:2" x14ac:dyDescent="0.4">
      <c r="A1470" s="2" t="s">
        <v>2942</v>
      </c>
      <c r="B1470" s="2" t="s">
        <v>2943</v>
      </c>
    </row>
    <row r="1471" spans="1:2" x14ac:dyDescent="0.4">
      <c r="A1471" s="2" t="s">
        <v>2944</v>
      </c>
      <c r="B1471" s="2" t="s">
        <v>2945</v>
      </c>
    </row>
    <row r="1472" spans="1:2" x14ac:dyDescent="0.4">
      <c r="A1472" s="2" t="s">
        <v>2946</v>
      </c>
      <c r="B1472" s="2" t="s">
        <v>2947</v>
      </c>
    </row>
    <row r="1473" spans="1:2" x14ac:dyDescent="0.4">
      <c r="A1473" s="2" t="s">
        <v>2948</v>
      </c>
      <c r="B1473" s="2" t="s">
        <v>2949</v>
      </c>
    </row>
    <row r="1474" spans="1:2" x14ac:dyDescent="0.4">
      <c r="A1474" s="2" t="s">
        <v>2950</v>
      </c>
      <c r="B1474" s="2" t="s">
        <v>2951</v>
      </c>
    </row>
    <row r="1475" spans="1:2" x14ac:dyDescent="0.4">
      <c r="A1475" s="2" t="s">
        <v>2952</v>
      </c>
      <c r="B1475" s="2" t="s">
        <v>2953</v>
      </c>
    </row>
    <row r="1476" spans="1:2" x14ac:dyDescent="0.4">
      <c r="A1476" s="2" t="s">
        <v>2954</v>
      </c>
      <c r="B1476" s="2" t="s">
        <v>2955</v>
      </c>
    </row>
    <row r="1477" spans="1:2" x14ac:dyDescent="0.4">
      <c r="A1477" s="2" t="s">
        <v>2956</v>
      </c>
      <c r="B1477" s="2" t="s">
        <v>2957</v>
      </c>
    </row>
    <row r="1478" spans="1:2" x14ac:dyDescent="0.4">
      <c r="A1478" s="2" t="s">
        <v>2958</v>
      </c>
      <c r="B1478" s="2" t="s">
        <v>2959</v>
      </c>
    </row>
    <row r="1479" spans="1:2" x14ac:dyDescent="0.4">
      <c r="A1479" s="2" t="s">
        <v>2960</v>
      </c>
      <c r="B1479" s="2" t="s">
        <v>2961</v>
      </c>
    </row>
    <row r="1480" spans="1:2" x14ac:dyDescent="0.4">
      <c r="A1480" s="2" t="s">
        <v>2962</v>
      </c>
      <c r="B1480" s="2" t="s">
        <v>2963</v>
      </c>
    </row>
    <row r="1481" spans="1:2" x14ac:dyDescent="0.4">
      <c r="A1481" s="2" t="s">
        <v>2</v>
      </c>
      <c r="B1481" s="2" t="s">
        <v>2964</v>
      </c>
    </row>
    <row r="1482" spans="1:2" x14ac:dyDescent="0.4">
      <c r="A1482" s="2" t="s">
        <v>2965</v>
      </c>
      <c r="B1482" s="2" t="s">
        <v>2966</v>
      </c>
    </row>
    <row r="1483" spans="1:2" x14ac:dyDescent="0.4">
      <c r="A1483" s="2" t="s">
        <v>2967</v>
      </c>
      <c r="B1483" s="2" t="s">
        <v>2968</v>
      </c>
    </row>
    <row r="1484" spans="1:2" x14ac:dyDescent="0.4">
      <c r="A1484" s="2" t="s">
        <v>2969</v>
      </c>
      <c r="B1484" s="2" t="s">
        <v>2970</v>
      </c>
    </row>
    <row r="1485" spans="1:2" x14ac:dyDescent="0.4">
      <c r="A1485" s="2" t="s">
        <v>2971</v>
      </c>
      <c r="B1485" s="2" t="s">
        <v>2972</v>
      </c>
    </row>
    <row r="1486" spans="1:2" x14ac:dyDescent="0.4">
      <c r="A1486" s="2" t="s">
        <v>2973</v>
      </c>
      <c r="B1486" s="2" t="s">
        <v>2974</v>
      </c>
    </row>
    <row r="1487" spans="1:2" x14ac:dyDescent="0.4">
      <c r="A1487" s="2" t="s">
        <v>2975</v>
      </c>
      <c r="B1487" s="2" t="s">
        <v>2976</v>
      </c>
    </row>
    <row r="1488" spans="1:2" x14ac:dyDescent="0.4">
      <c r="A1488" s="2" t="s">
        <v>2977</v>
      </c>
      <c r="B1488" s="2" t="s">
        <v>2978</v>
      </c>
    </row>
    <row r="1489" spans="1:2" x14ac:dyDescent="0.4">
      <c r="A1489" s="2" t="s">
        <v>2979</v>
      </c>
      <c r="B1489" s="2" t="s">
        <v>2980</v>
      </c>
    </row>
    <row r="1490" spans="1:2" x14ac:dyDescent="0.4">
      <c r="A1490" s="2" t="s">
        <v>2981</v>
      </c>
      <c r="B1490" s="2" t="s">
        <v>2982</v>
      </c>
    </row>
    <row r="1491" spans="1:2" x14ac:dyDescent="0.4">
      <c r="A1491" s="2" t="s">
        <v>2983</v>
      </c>
      <c r="B1491" s="2" t="s">
        <v>2984</v>
      </c>
    </row>
    <row r="1492" spans="1:2" x14ac:dyDescent="0.4">
      <c r="A1492" s="2" t="s">
        <v>2985</v>
      </c>
      <c r="B1492" s="2" t="s">
        <v>2986</v>
      </c>
    </row>
    <row r="1493" spans="1:2" x14ac:dyDescent="0.4">
      <c r="A1493" s="2" t="s">
        <v>2987</v>
      </c>
      <c r="B1493" s="2" t="s">
        <v>2988</v>
      </c>
    </row>
    <row r="1494" spans="1:2" x14ac:dyDescent="0.4">
      <c r="A1494" s="2" t="s">
        <v>2989</v>
      </c>
      <c r="B1494" s="2" t="s">
        <v>2990</v>
      </c>
    </row>
    <row r="1495" spans="1:2" x14ac:dyDescent="0.4">
      <c r="A1495" s="2" t="s">
        <v>2991</v>
      </c>
      <c r="B1495" s="2" t="s">
        <v>2992</v>
      </c>
    </row>
    <row r="1496" spans="1:2" x14ac:dyDescent="0.4">
      <c r="A1496" s="2" t="s">
        <v>2993</v>
      </c>
      <c r="B1496" s="2" t="s">
        <v>2994</v>
      </c>
    </row>
    <row r="1497" spans="1:2" x14ac:dyDescent="0.4">
      <c r="A1497" s="2" t="s">
        <v>2995</v>
      </c>
      <c r="B1497" s="2" t="s">
        <v>2996</v>
      </c>
    </row>
    <row r="1498" spans="1:2" x14ac:dyDescent="0.4">
      <c r="A1498" s="2" t="s">
        <v>2997</v>
      </c>
      <c r="B1498" s="2" t="s">
        <v>2998</v>
      </c>
    </row>
    <row r="1499" spans="1:2" x14ac:dyDescent="0.4">
      <c r="A1499" s="2" t="s">
        <v>2999</v>
      </c>
      <c r="B1499" s="2" t="s">
        <v>3000</v>
      </c>
    </row>
    <row r="1500" spans="1:2" x14ac:dyDescent="0.4">
      <c r="A1500" s="2" t="s">
        <v>3001</v>
      </c>
      <c r="B1500" s="2" t="s">
        <v>3002</v>
      </c>
    </row>
    <row r="1501" spans="1:2" x14ac:dyDescent="0.4">
      <c r="A1501" s="2" t="s">
        <v>3003</v>
      </c>
      <c r="B1501" s="2" t="s">
        <v>3004</v>
      </c>
    </row>
    <row r="1502" spans="1:2" x14ac:dyDescent="0.4">
      <c r="A1502" s="2" t="s">
        <v>3005</v>
      </c>
      <c r="B1502" s="2" t="s">
        <v>3006</v>
      </c>
    </row>
    <row r="1503" spans="1:2" x14ac:dyDescent="0.4">
      <c r="A1503" s="2" t="s">
        <v>3007</v>
      </c>
      <c r="B1503" s="2" t="s">
        <v>3008</v>
      </c>
    </row>
    <row r="1504" spans="1:2" x14ac:dyDescent="0.4">
      <c r="A1504" s="2" t="s">
        <v>3009</v>
      </c>
      <c r="B1504" s="2" t="s">
        <v>3010</v>
      </c>
    </row>
    <row r="1505" spans="1:2" x14ac:dyDescent="0.4">
      <c r="A1505" s="2" t="s">
        <v>3011</v>
      </c>
      <c r="B1505" s="2" t="s">
        <v>3012</v>
      </c>
    </row>
    <row r="1506" spans="1:2" x14ac:dyDescent="0.4">
      <c r="A1506" s="2" t="s">
        <v>3013</v>
      </c>
      <c r="B1506" s="2" t="s">
        <v>3014</v>
      </c>
    </row>
    <row r="1507" spans="1:2" x14ac:dyDescent="0.4">
      <c r="A1507" s="2" t="s">
        <v>3015</v>
      </c>
      <c r="B1507" s="2" t="s">
        <v>3016</v>
      </c>
    </row>
    <row r="1508" spans="1:2" x14ac:dyDescent="0.4">
      <c r="A1508" s="2" t="s">
        <v>3017</v>
      </c>
      <c r="B1508" s="2" t="s">
        <v>3018</v>
      </c>
    </row>
    <row r="1509" spans="1:2" x14ac:dyDescent="0.4">
      <c r="A1509" s="2" t="s">
        <v>3019</v>
      </c>
      <c r="B1509" s="2" t="s">
        <v>3020</v>
      </c>
    </row>
    <row r="1510" spans="1:2" x14ac:dyDescent="0.4">
      <c r="A1510" s="2" t="s">
        <v>3021</v>
      </c>
      <c r="B1510" s="2" t="s">
        <v>3022</v>
      </c>
    </row>
    <row r="1511" spans="1:2" x14ac:dyDescent="0.4">
      <c r="A1511" s="2" t="s">
        <v>3023</v>
      </c>
      <c r="B1511" s="2" t="s">
        <v>3024</v>
      </c>
    </row>
    <row r="1512" spans="1:2" x14ac:dyDescent="0.4">
      <c r="A1512" s="2" t="s">
        <v>3025</v>
      </c>
      <c r="B1512" s="2" t="s">
        <v>3026</v>
      </c>
    </row>
    <row r="1513" spans="1:2" x14ac:dyDescent="0.4">
      <c r="A1513" s="2" t="s">
        <v>3027</v>
      </c>
      <c r="B1513" s="2" t="s">
        <v>3028</v>
      </c>
    </row>
    <row r="1514" spans="1:2" x14ac:dyDescent="0.4">
      <c r="A1514" s="2" t="s">
        <v>3029</v>
      </c>
      <c r="B1514" s="2" t="s">
        <v>3030</v>
      </c>
    </row>
    <row r="1515" spans="1:2" x14ac:dyDescent="0.4">
      <c r="A1515" s="2" t="s">
        <v>3031</v>
      </c>
      <c r="B1515" s="2" t="s">
        <v>3032</v>
      </c>
    </row>
    <row r="1516" spans="1:2" x14ac:dyDescent="0.4">
      <c r="A1516" s="2" t="s">
        <v>3033</v>
      </c>
      <c r="B1516" s="2" t="s">
        <v>3034</v>
      </c>
    </row>
    <row r="1517" spans="1:2" x14ac:dyDescent="0.4">
      <c r="A1517" s="2" t="s">
        <v>3035</v>
      </c>
      <c r="B1517" s="2" t="s">
        <v>3036</v>
      </c>
    </row>
    <row r="1518" spans="1:2" x14ac:dyDescent="0.4">
      <c r="A1518" s="2" t="s">
        <v>3037</v>
      </c>
      <c r="B1518" s="2" t="s">
        <v>3038</v>
      </c>
    </row>
    <row r="1519" spans="1:2" x14ac:dyDescent="0.4">
      <c r="A1519" s="2" t="s">
        <v>3039</v>
      </c>
      <c r="B1519" s="2" t="s">
        <v>3040</v>
      </c>
    </row>
    <row r="1520" spans="1:2" x14ac:dyDescent="0.4">
      <c r="A1520" s="2" t="s">
        <v>3041</v>
      </c>
      <c r="B1520" s="2" t="s">
        <v>3042</v>
      </c>
    </row>
    <row r="1521" spans="1:2" x14ac:dyDescent="0.4">
      <c r="A1521" s="2" t="s">
        <v>3043</v>
      </c>
      <c r="B1521" s="2" t="s">
        <v>3044</v>
      </c>
    </row>
    <row r="1522" spans="1:2" x14ac:dyDescent="0.4">
      <c r="A1522" s="2" t="s">
        <v>3045</v>
      </c>
      <c r="B1522" s="2" t="s">
        <v>3046</v>
      </c>
    </row>
    <row r="1523" spans="1:2" x14ac:dyDescent="0.4">
      <c r="A1523" s="2" t="s">
        <v>3047</v>
      </c>
      <c r="B1523" s="2" t="s">
        <v>3048</v>
      </c>
    </row>
    <row r="1524" spans="1:2" x14ac:dyDescent="0.4">
      <c r="A1524" s="2" t="s">
        <v>3049</v>
      </c>
      <c r="B1524" s="2" t="s">
        <v>3050</v>
      </c>
    </row>
    <row r="1525" spans="1:2" x14ac:dyDescent="0.4">
      <c r="A1525" s="2" t="s">
        <v>3051</v>
      </c>
      <c r="B1525" s="2" t="s">
        <v>3052</v>
      </c>
    </row>
    <row r="1526" spans="1:2" x14ac:dyDescent="0.4">
      <c r="A1526" s="2" t="s">
        <v>3053</v>
      </c>
      <c r="B1526" s="2" t="s">
        <v>3054</v>
      </c>
    </row>
    <row r="1527" spans="1:2" x14ac:dyDescent="0.4">
      <c r="A1527" s="2" t="s">
        <v>3055</v>
      </c>
      <c r="B1527" s="2" t="s">
        <v>3056</v>
      </c>
    </row>
    <row r="1528" spans="1:2" x14ac:dyDescent="0.4">
      <c r="A1528" s="2" t="s">
        <v>3057</v>
      </c>
      <c r="B1528" s="2" t="s">
        <v>3058</v>
      </c>
    </row>
    <row r="1529" spans="1:2" x14ac:dyDescent="0.4">
      <c r="A1529" s="2" t="s">
        <v>3059</v>
      </c>
      <c r="B1529" s="2" t="s">
        <v>3060</v>
      </c>
    </row>
    <row r="1530" spans="1:2" x14ac:dyDescent="0.4">
      <c r="A1530" s="2" t="s">
        <v>3061</v>
      </c>
      <c r="B1530" s="2" t="s">
        <v>3062</v>
      </c>
    </row>
    <row r="1531" spans="1:2" x14ac:dyDescent="0.4">
      <c r="A1531" s="2" t="s">
        <v>3063</v>
      </c>
      <c r="B1531" s="2" t="s">
        <v>3064</v>
      </c>
    </row>
    <row r="1532" spans="1:2" x14ac:dyDescent="0.4">
      <c r="A1532" s="2" t="s">
        <v>3065</v>
      </c>
      <c r="B1532" s="2" t="s">
        <v>3066</v>
      </c>
    </row>
    <row r="1533" spans="1:2" x14ac:dyDescent="0.4">
      <c r="A1533" s="2" t="s">
        <v>3067</v>
      </c>
      <c r="B1533" s="2" t="s">
        <v>3068</v>
      </c>
    </row>
    <row r="1534" spans="1:2" x14ac:dyDescent="0.4">
      <c r="A1534" s="2" t="s">
        <v>3069</v>
      </c>
      <c r="B1534" s="2" t="s">
        <v>3070</v>
      </c>
    </row>
    <row r="1535" spans="1:2" x14ac:dyDescent="0.4">
      <c r="A1535" s="2" t="s">
        <v>3071</v>
      </c>
      <c r="B1535" s="2" t="s">
        <v>3072</v>
      </c>
    </row>
    <row r="1536" spans="1:2" x14ac:dyDescent="0.4">
      <c r="A1536" s="2" t="s">
        <v>3073</v>
      </c>
      <c r="B1536" s="2" t="s">
        <v>3074</v>
      </c>
    </row>
    <row r="1537" spans="1:2" x14ac:dyDescent="0.4">
      <c r="A1537" s="2" t="s">
        <v>3075</v>
      </c>
      <c r="B1537" s="2" t="s">
        <v>3076</v>
      </c>
    </row>
    <row r="1538" spans="1:2" x14ac:dyDescent="0.4">
      <c r="A1538" s="2" t="s">
        <v>3077</v>
      </c>
      <c r="B1538" s="2" t="s">
        <v>3078</v>
      </c>
    </row>
    <row r="1539" spans="1:2" x14ac:dyDescent="0.4">
      <c r="A1539" s="2" t="s">
        <v>3079</v>
      </c>
      <c r="B1539" s="2" t="s">
        <v>3080</v>
      </c>
    </row>
    <row r="1540" spans="1:2" x14ac:dyDescent="0.4">
      <c r="A1540" s="2" t="s">
        <v>3081</v>
      </c>
      <c r="B1540" s="2" t="s">
        <v>3082</v>
      </c>
    </row>
    <row r="1541" spans="1:2" x14ac:dyDescent="0.4">
      <c r="A1541" s="2" t="s">
        <v>3083</v>
      </c>
      <c r="B1541" s="2" t="s">
        <v>3084</v>
      </c>
    </row>
    <row r="1542" spans="1:2" x14ac:dyDescent="0.4">
      <c r="A1542" s="2" t="s">
        <v>3085</v>
      </c>
      <c r="B1542" s="2" t="s">
        <v>3086</v>
      </c>
    </row>
    <row r="1543" spans="1:2" x14ac:dyDescent="0.4">
      <c r="A1543" s="2" t="s">
        <v>3087</v>
      </c>
      <c r="B1543" s="2" t="s">
        <v>3088</v>
      </c>
    </row>
    <row r="1544" spans="1:2" x14ac:dyDescent="0.4">
      <c r="A1544" s="2" t="s">
        <v>3089</v>
      </c>
      <c r="B1544" s="2" t="s">
        <v>3090</v>
      </c>
    </row>
    <row r="1545" spans="1:2" x14ac:dyDescent="0.4">
      <c r="A1545" s="2" t="s">
        <v>3091</v>
      </c>
      <c r="B1545" s="2" t="s">
        <v>3092</v>
      </c>
    </row>
    <row r="1546" spans="1:2" x14ac:dyDescent="0.4">
      <c r="A1546" s="2" t="s">
        <v>3093</v>
      </c>
      <c r="B1546" s="2" t="s">
        <v>3094</v>
      </c>
    </row>
    <row r="1547" spans="1:2" x14ac:dyDescent="0.4">
      <c r="A1547" s="2" t="s">
        <v>3095</v>
      </c>
      <c r="B1547" s="2" t="s">
        <v>3096</v>
      </c>
    </row>
    <row r="1548" spans="1:2" x14ac:dyDescent="0.4">
      <c r="A1548" s="2" t="s">
        <v>3097</v>
      </c>
      <c r="B1548" s="2" t="s">
        <v>3098</v>
      </c>
    </row>
    <row r="1549" spans="1:2" x14ac:dyDescent="0.4">
      <c r="A1549" s="2" t="s">
        <v>3099</v>
      </c>
      <c r="B1549" s="2" t="s">
        <v>3100</v>
      </c>
    </row>
    <row r="1550" spans="1:2" x14ac:dyDescent="0.4">
      <c r="A1550" s="2" t="s">
        <v>3101</v>
      </c>
      <c r="B1550" s="2" t="s">
        <v>3102</v>
      </c>
    </row>
    <row r="1551" spans="1:2" x14ac:dyDescent="0.4">
      <c r="A1551" s="2" t="s">
        <v>3103</v>
      </c>
      <c r="B1551" s="2" t="s">
        <v>3104</v>
      </c>
    </row>
    <row r="1552" spans="1:2" x14ac:dyDescent="0.4">
      <c r="A1552" s="2" t="s">
        <v>3105</v>
      </c>
      <c r="B1552" s="2" t="s">
        <v>3106</v>
      </c>
    </row>
    <row r="1553" spans="1:2" x14ac:dyDescent="0.4">
      <c r="A1553" s="2" t="s">
        <v>3107</v>
      </c>
      <c r="B1553" s="2" t="s">
        <v>3108</v>
      </c>
    </row>
    <row r="1554" spans="1:2" x14ac:dyDescent="0.4">
      <c r="A1554" s="2" t="s">
        <v>3109</v>
      </c>
      <c r="B1554" s="2" t="s">
        <v>3110</v>
      </c>
    </row>
    <row r="1555" spans="1:2" x14ac:dyDescent="0.4">
      <c r="A1555" s="2" t="s">
        <v>3111</v>
      </c>
      <c r="B1555" s="2" t="s">
        <v>3112</v>
      </c>
    </row>
    <row r="1556" spans="1:2" x14ac:dyDescent="0.4">
      <c r="A1556" s="2" t="s">
        <v>3113</v>
      </c>
      <c r="B1556" s="2" t="s">
        <v>3114</v>
      </c>
    </row>
    <row r="1557" spans="1:2" x14ac:dyDescent="0.4">
      <c r="A1557" s="2" t="s">
        <v>3115</v>
      </c>
      <c r="B1557" s="2" t="s">
        <v>3116</v>
      </c>
    </row>
    <row r="1558" spans="1:2" x14ac:dyDescent="0.4">
      <c r="A1558" s="2" t="s">
        <v>3117</v>
      </c>
      <c r="B1558" s="2" t="s">
        <v>3118</v>
      </c>
    </row>
    <row r="1559" spans="1:2" x14ac:dyDescent="0.4">
      <c r="A1559" s="2" t="s">
        <v>3119</v>
      </c>
      <c r="B1559" s="2" t="s">
        <v>3120</v>
      </c>
    </row>
    <row r="1560" spans="1:2" x14ac:dyDescent="0.4">
      <c r="A1560" s="2" t="s">
        <v>3121</v>
      </c>
      <c r="B1560" s="2" t="s">
        <v>3122</v>
      </c>
    </row>
    <row r="1561" spans="1:2" x14ac:dyDescent="0.4">
      <c r="A1561" s="2" t="s">
        <v>3123</v>
      </c>
      <c r="B1561" s="2" t="s">
        <v>3124</v>
      </c>
    </row>
    <row r="1562" spans="1:2" x14ac:dyDescent="0.4">
      <c r="A1562" s="2" t="s">
        <v>3125</v>
      </c>
      <c r="B1562" s="2" t="s">
        <v>3126</v>
      </c>
    </row>
    <row r="1563" spans="1:2" x14ac:dyDescent="0.4">
      <c r="A1563" s="2" t="s">
        <v>3127</v>
      </c>
      <c r="B1563" s="2" t="s">
        <v>3128</v>
      </c>
    </row>
    <row r="1564" spans="1:2" x14ac:dyDescent="0.4">
      <c r="A1564" s="2" t="s">
        <v>3129</v>
      </c>
      <c r="B1564" s="2" t="s">
        <v>3130</v>
      </c>
    </row>
    <row r="1565" spans="1:2" x14ac:dyDescent="0.4">
      <c r="A1565" s="2" t="s">
        <v>3131</v>
      </c>
      <c r="B1565" s="2" t="s">
        <v>3132</v>
      </c>
    </row>
    <row r="1566" spans="1:2" x14ac:dyDescent="0.4">
      <c r="A1566" s="2" t="s">
        <v>3133</v>
      </c>
      <c r="B1566" s="2" t="s">
        <v>3134</v>
      </c>
    </row>
    <row r="1567" spans="1:2" x14ac:dyDescent="0.4">
      <c r="A1567" s="2" t="s">
        <v>3135</v>
      </c>
      <c r="B1567" s="2" t="s">
        <v>3136</v>
      </c>
    </row>
    <row r="1568" spans="1:2" x14ac:dyDescent="0.4">
      <c r="A1568" s="2" t="s">
        <v>3137</v>
      </c>
      <c r="B1568" s="2" t="s">
        <v>3138</v>
      </c>
    </row>
    <row r="1569" spans="1:2" x14ac:dyDescent="0.4">
      <c r="A1569" s="2" t="s">
        <v>3139</v>
      </c>
      <c r="B1569" s="2" t="s">
        <v>3140</v>
      </c>
    </row>
    <row r="1570" spans="1:2" x14ac:dyDescent="0.4">
      <c r="A1570" s="2" t="s">
        <v>3141</v>
      </c>
      <c r="B1570" s="2" t="s">
        <v>3142</v>
      </c>
    </row>
    <row r="1571" spans="1:2" x14ac:dyDescent="0.4">
      <c r="A1571" s="2" t="s">
        <v>3143</v>
      </c>
      <c r="B1571" s="2" t="s">
        <v>3144</v>
      </c>
    </row>
    <row r="1572" spans="1:2" x14ac:dyDescent="0.4">
      <c r="A1572" s="2" t="s">
        <v>3145</v>
      </c>
      <c r="B1572" s="2" t="s">
        <v>3146</v>
      </c>
    </row>
    <row r="1573" spans="1:2" x14ac:dyDescent="0.4">
      <c r="A1573" s="2" t="s">
        <v>3147</v>
      </c>
      <c r="B1573" s="2" t="s">
        <v>3148</v>
      </c>
    </row>
    <row r="1574" spans="1:2" x14ac:dyDescent="0.4">
      <c r="A1574" s="2" t="s">
        <v>3149</v>
      </c>
      <c r="B1574" s="2" t="s">
        <v>3150</v>
      </c>
    </row>
    <row r="1575" spans="1:2" x14ac:dyDescent="0.4">
      <c r="A1575" s="2" t="s">
        <v>3151</v>
      </c>
      <c r="B1575" s="2" t="s">
        <v>3152</v>
      </c>
    </row>
    <row r="1576" spans="1:2" x14ac:dyDescent="0.4">
      <c r="A1576" s="2" t="s">
        <v>3153</v>
      </c>
      <c r="B1576" s="2" t="s">
        <v>3154</v>
      </c>
    </row>
    <row r="1577" spans="1:2" x14ac:dyDescent="0.4">
      <c r="A1577" s="2" t="s">
        <v>3155</v>
      </c>
      <c r="B1577" s="2" t="s">
        <v>3156</v>
      </c>
    </row>
    <row r="1578" spans="1:2" x14ac:dyDescent="0.4">
      <c r="A1578" s="2" t="s">
        <v>3157</v>
      </c>
      <c r="B1578" s="2" t="s">
        <v>3158</v>
      </c>
    </row>
    <row r="1579" spans="1:2" x14ac:dyDescent="0.4">
      <c r="A1579" s="2" t="s">
        <v>3159</v>
      </c>
      <c r="B1579" s="2" t="s">
        <v>3160</v>
      </c>
    </row>
    <row r="1580" spans="1:2" x14ac:dyDescent="0.4">
      <c r="A1580" s="2" t="s">
        <v>3161</v>
      </c>
      <c r="B1580" s="2" t="s">
        <v>3162</v>
      </c>
    </row>
    <row r="1581" spans="1:2" x14ac:dyDescent="0.4">
      <c r="A1581" s="2" t="s">
        <v>3163</v>
      </c>
      <c r="B1581" s="2" t="s">
        <v>3164</v>
      </c>
    </row>
    <row r="1582" spans="1:2" x14ac:dyDescent="0.4">
      <c r="A1582" s="2" t="s">
        <v>3165</v>
      </c>
      <c r="B1582" s="2" t="s">
        <v>3166</v>
      </c>
    </row>
    <row r="1583" spans="1:2" x14ac:dyDescent="0.4">
      <c r="A1583" s="2" t="s">
        <v>1</v>
      </c>
      <c r="B1583" s="2" t="s">
        <v>3167</v>
      </c>
    </row>
    <row r="1584" spans="1:2" x14ac:dyDescent="0.4">
      <c r="A1584" s="2" t="s">
        <v>3168</v>
      </c>
      <c r="B1584" s="2" t="s">
        <v>3169</v>
      </c>
    </row>
    <row r="1585" spans="1:2" x14ac:dyDescent="0.4">
      <c r="A1585" s="2" t="s">
        <v>3170</v>
      </c>
      <c r="B1585" s="2" t="s">
        <v>3171</v>
      </c>
    </row>
    <row r="1586" spans="1:2" x14ac:dyDescent="0.4">
      <c r="A1586" s="2" t="s">
        <v>3172</v>
      </c>
      <c r="B1586" s="2" t="s">
        <v>3173</v>
      </c>
    </row>
    <row r="1587" spans="1:2" x14ac:dyDescent="0.4">
      <c r="A1587" s="2" t="s">
        <v>3174</v>
      </c>
      <c r="B1587" s="2" t="s">
        <v>3175</v>
      </c>
    </row>
    <row r="1588" spans="1:2" x14ac:dyDescent="0.4">
      <c r="A1588" s="2" t="s">
        <v>3176</v>
      </c>
      <c r="B1588" s="2" t="s">
        <v>3177</v>
      </c>
    </row>
    <row r="1589" spans="1:2" x14ac:dyDescent="0.4">
      <c r="A1589" s="2" t="s">
        <v>3178</v>
      </c>
      <c r="B1589" s="2" t="s">
        <v>3179</v>
      </c>
    </row>
    <row r="1590" spans="1:2" x14ac:dyDescent="0.4">
      <c r="A1590" s="2" t="s">
        <v>3180</v>
      </c>
      <c r="B1590" s="2" t="s">
        <v>3181</v>
      </c>
    </row>
    <row r="1591" spans="1:2" x14ac:dyDescent="0.4">
      <c r="A1591" s="2" t="s">
        <v>3182</v>
      </c>
      <c r="B1591" s="2" t="s">
        <v>3183</v>
      </c>
    </row>
    <row r="1592" spans="1:2" x14ac:dyDescent="0.4">
      <c r="A1592" s="2" t="s">
        <v>3184</v>
      </c>
      <c r="B1592" s="2" t="s">
        <v>3185</v>
      </c>
    </row>
    <row r="1593" spans="1:2" x14ac:dyDescent="0.4">
      <c r="A1593" s="2" t="s">
        <v>3186</v>
      </c>
      <c r="B1593" s="2" t="s">
        <v>3187</v>
      </c>
    </row>
    <row r="1594" spans="1:2" x14ac:dyDescent="0.4">
      <c r="A1594" s="2" t="s">
        <v>3188</v>
      </c>
      <c r="B1594" s="2" t="s">
        <v>3189</v>
      </c>
    </row>
    <row r="1595" spans="1:2" x14ac:dyDescent="0.4">
      <c r="A1595" s="2" t="s">
        <v>3190</v>
      </c>
      <c r="B1595" s="2" t="s">
        <v>3191</v>
      </c>
    </row>
    <row r="1596" spans="1:2" x14ac:dyDescent="0.4">
      <c r="A1596" s="2" t="s">
        <v>3192</v>
      </c>
      <c r="B1596" s="2" t="s">
        <v>3193</v>
      </c>
    </row>
    <row r="1597" spans="1:2" x14ac:dyDescent="0.4">
      <c r="A1597" s="2" t="s">
        <v>3194</v>
      </c>
      <c r="B1597" s="2" t="s">
        <v>3195</v>
      </c>
    </row>
    <row r="1598" spans="1:2" x14ac:dyDescent="0.4">
      <c r="A1598" s="2" t="s">
        <v>3196</v>
      </c>
      <c r="B1598" s="2" t="s">
        <v>3197</v>
      </c>
    </row>
    <row r="1599" spans="1:2" x14ac:dyDescent="0.4">
      <c r="A1599" s="2" t="s">
        <v>0</v>
      </c>
      <c r="B1599" s="2" t="s">
        <v>3198</v>
      </c>
    </row>
    <row r="1600" spans="1:2" x14ac:dyDescent="0.4">
      <c r="A1600" s="2" t="s">
        <v>3199</v>
      </c>
      <c r="B1600" s="2" t="s">
        <v>3200</v>
      </c>
    </row>
    <row r="1601" spans="1:2" x14ac:dyDescent="0.4">
      <c r="A1601" s="2" t="s">
        <v>3201</v>
      </c>
      <c r="B1601" s="2" t="s">
        <v>3202</v>
      </c>
    </row>
    <row r="1602" spans="1:2" x14ac:dyDescent="0.4">
      <c r="A1602" s="2" t="s">
        <v>3203</v>
      </c>
      <c r="B1602" s="2" t="s">
        <v>3204</v>
      </c>
    </row>
    <row r="1603" spans="1:2" x14ac:dyDescent="0.4">
      <c r="A1603" s="2" t="s">
        <v>3205</v>
      </c>
      <c r="B1603" s="2" t="s">
        <v>3206</v>
      </c>
    </row>
    <row r="1604" spans="1:2" x14ac:dyDescent="0.4">
      <c r="A1604" s="2" t="s">
        <v>3207</v>
      </c>
      <c r="B1604" s="2" t="s">
        <v>3208</v>
      </c>
    </row>
    <row r="1605" spans="1:2" x14ac:dyDescent="0.4">
      <c r="A1605" s="2" t="s">
        <v>3209</v>
      </c>
      <c r="B1605" s="2" t="s">
        <v>3210</v>
      </c>
    </row>
    <row r="1606" spans="1:2" x14ac:dyDescent="0.4">
      <c r="A1606" s="2" t="s">
        <v>3211</v>
      </c>
      <c r="B1606" s="2" t="s">
        <v>3212</v>
      </c>
    </row>
    <row r="1607" spans="1:2" x14ac:dyDescent="0.4">
      <c r="A1607" s="2" t="s">
        <v>3213</v>
      </c>
      <c r="B1607" s="2" t="s">
        <v>3214</v>
      </c>
    </row>
    <row r="1608" spans="1:2" x14ac:dyDescent="0.4">
      <c r="A1608" s="2" t="s">
        <v>3215</v>
      </c>
      <c r="B1608" s="2" t="s">
        <v>3216</v>
      </c>
    </row>
    <row r="1609" spans="1:2" x14ac:dyDescent="0.4">
      <c r="A1609" s="2" t="s">
        <v>3217</v>
      </c>
      <c r="B1609" s="2" t="s">
        <v>3218</v>
      </c>
    </row>
    <row r="1610" spans="1:2" x14ac:dyDescent="0.4">
      <c r="A1610" s="2" t="s">
        <v>3219</v>
      </c>
      <c r="B1610" s="2" t="s">
        <v>3220</v>
      </c>
    </row>
    <row r="1611" spans="1:2" x14ac:dyDescent="0.4">
      <c r="A1611" s="2" t="s">
        <v>3221</v>
      </c>
      <c r="B1611" s="2" t="s">
        <v>3222</v>
      </c>
    </row>
    <row r="1612" spans="1:2" x14ac:dyDescent="0.4">
      <c r="A1612" s="2" t="s">
        <v>3223</v>
      </c>
      <c r="B1612" s="2" t="s">
        <v>3224</v>
      </c>
    </row>
    <row r="1613" spans="1:2" x14ac:dyDescent="0.4">
      <c r="A1613" s="2" t="s">
        <v>3225</v>
      </c>
      <c r="B1613" s="2" t="s">
        <v>3226</v>
      </c>
    </row>
    <row r="1614" spans="1:2" x14ac:dyDescent="0.4">
      <c r="A1614" s="2" t="s">
        <v>3227</v>
      </c>
      <c r="B1614" s="2" t="s">
        <v>3228</v>
      </c>
    </row>
    <row r="1615" spans="1:2" x14ac:dyDescent="0.4">
      <c r="A1615" s="2" t="s">
        <v>3229</v>
      </c>
      <c r="B1615" s="2" t="s">
        <v>3230</v>
      </c>
    </row>
    <row r="1616" spans="1:2" x14ac:dyDescent="0.4">
      <c r="A1616" s="2" t="s">
        <v>3231</v>
      </c>
      <c r="B1616" s="2" t="s">
        <v>3232</v>
      </c>
    </row>
    <row r="1617" spans="1:2" x14ac:dyDescent="0.4">
      <c r="A1617" s="2" t="s">
        <v>4712</v>
      </c>
      <c r="B1617" s="2" t="s">
        <v>4713</v>
      </c>
    </row>
    <row r="1618" spans="1:2" x14ac:dyDescent="0.4">
      <c r="A1618" s="2" t="s">
        <v>3233</v>
      </c>
      <c r="B1618" s="2" t="s">
        <v>3234</v>
      </c>
    </row>
    <row r="1619" spans="1:2" x14ac:dyDescent="0.4">
      <c r="A1619" s="2" t="s">
        <v>3235</v>
      </c>
      <c r="B1619" s="2" t="s">
        <v>3236</v>
      </c>
    </row>
    <row r="1620" spans="1:2" x14ac:dyDescent="0.4">
      <c r="A1620" s="2" t="s">
        <v>3237</v>
      </c>
      <c r="B1620" s="2" t="s">
        <v>3238</v>
      </c>
    </row>
    <row r="1621" spans="1:2" x14ac:dyDescent="0.4">
      <c r="A1621" s="2" t="s">
        <v>3239</v>
      </c>
      <c r="B1621" s="2" t="s">
        <v>3240</v>
      </c>
    </row>
    <row r="1622" spans="1:2" x14ac:dyDescent="0.4">
      <c r="A1622" s="2" t="s">
        <v>3241</v>
      </c>
      <c r="B1622" s="2" t="s">
        <v>3242</v>
      </c>
    </row>
    <row r="1623" spans="1:2" x14ac:dyDescent="0.4">
      <c r="A1623" s="2" t="s">
        <v>3243</v>
      </c>
      <c r="B1623" s="2" t="s">
        <v>3244</v>
      </c>
    </row>
    <row r="1624" spans="1:2" x14ac:dyDescent="0.4">
      <c r="A1624" s="2" t="s">
        <v>3245</v>
      </c>
      <c r="B1624" s="2" t="s">
        <v>3246</v>
      </c>
    </row>
    <row r="1625" spans="1:2" x14ac:dyDescent="0.4">
      <c r="A1625" s="2" t="s">
        <v>3247</v>
      </c>
      <c r="B1625" s="2" t="s">
        <v>3248</v>
      </c>
    </row>
    <row r="1626" spans="1:2" x14ac:dyDescent="0.4">
      <c r="A1626" s="2" t="s">
        <v>3249</v>
      </c>
      <c r="B1626" s="2" t="s">
        <v>3250</v>
      </c>
    </row>
    <row r="1627" spans="1:2" x14ac:dyDescent="0.4">
      <c r="A1627" s="2" t="s">
        <v>3251</v>
      </c>
      <c r="B1627" s="2" t="s">
        <v>3252</v>
      </c>
    </row>
    <row r="1628" spans="1:2" x14ac:dyDescent="0.4">
      <c r="A1628" s="2" t="s">
        <v>3253</v>
      </c>
      <c r="B1628" s="2" t="s">
        <v>3254</v>
      </c>
    </row>
    <row r="1629" spans="1:2" x14ac:dyDescent="0.4">
      <c r="A1629" s="2" t="s">
        <v>3255</v>
      </c>
      <c r="B1629" s="2" t="s">
        <v>3256</v>
      </c>
    </row>
    <row r="1630" spans="1:2" x14ac:dyDescent="0.4">
      <c r="A1630" s="2" t="s">
        <v>3257</v>
      </c>
      <c r="B1630" s="2" t="s">
        <v>3258</v>
      </c>
    </row>
    <row r="1631" spans="1:2" x14ac:dyDescent="0.4">
      <c r="A1631" s="2" t="s">
        <v>3259</v>
      </c>
      <c r="B1631" s="2" t="s">
        <v>3260</v>
      </c>
    </row>
    <row r="1632" spans="1:2" x14ac:dyDescent="0.4">
      <c r="A1632" s="2" t="s">
        <v>3261</v>
      </c>
      <c r="B1632" s="2" t="s">
        <v>3262</v>
      </c>
    </row>
    <row r="1633" spans="1:2" x14ac:dyDescent="0.4">
      <c r="A1633" s="2" t="s">
        <v>3263</v>
      </c>
      <c r="B1633" s="2" t="s">
        <v>3264</v>
      </c>
    </row>
    <row r="1634" spans="1:2" x14ac:dyDescent="0.4">
      <c r="A1634" s="2" t="s">
        <v>3265</v>
      </c>
      <c r="B1634" s="2" t="s">
        <v>3266</v>
      </c>
    </row>
    <row r="1635" spans="1:2" x14ac:dyDescent="0.4">
      <c r="A1635" s="2" t="s">
        <v>3267</v>
      </c>
      <c r="B1635" s="2" t="s">
        <v>3268</v>
      </c>
    </row>
    <row r="1636" spans="1:2" x14ac:dyDescent="0.4">
      <c r="A1636" s="2" t="s">
        <v>3269</v>
      </c>
      <c r="B1636" s="2" t="s">
        <v>3270</v>
      </c>
    </row>
    <row r="1637" spans="1:2" x14ac:dyDescent="0.4">
      <c r="A1637" s="2" t="s">
        <v>3271</v>
      </c>
      <c r="B1637" s="2" t="s">
        <v>3272</v>
      </c>
    </row>
    <row r="1638" spans="1:2" x14ac:dyDescent="0.4">
      <c r="A1638" s="2" t="s">
        <v>3273</v>
      </c>
      <c r="B1638" s="2" t="s">
        <v>3274</v>
      </c>
    </row>
    <row r="1639" spans="1:2" x14ac:dyDescent="0.4">
      <c r="A1639" s="2" t="s">
        <v>3275</v>
      </c>
      <c r="B1639" s="2" t="s">
        <v>3276</v>
      </c>
    </row>
    <row r="1640" spans="1:2" x14ac:dyDescent="0.4">
      <c r="A1640" s="2" t="s">
        <v>3277</v>
      </c>
      <c r="B1640" s="2" t="s">
        <v>3278</v>
      </c>
    </row>
    <row r="1641" spans="1:2" x14ac:dyDescent="0.4">
      <c r="A1641" s="2" t="s">
        <v>3279</v>
      </c>
      <c r="B1641" s="2" t="s">
        <v>3280</v>
      </c>
    </row>
    <row r="1642" spans="1:2" x14ac:dyDescent="0.4">
      <c r="A1642" s="2" t="s">
        <v>3281</v>
      </c>
      <c r="B1642" s="2" t="s">
        <v>3282</v>
      </c>
    </row>
    <row r="1643" spans="1:2" x14ac:dyDescent="0.4">
      <c r="A1643" s="2" t="s">
        <v>3283</v>
      </c>
      <c r="B1643" s="2" t="s">
        <v>3284</v>
      </c>
    </row>
    <row r="1644" spans="1:2" x14ac:dyDescent="0.4">
      <c r="A1644" s="2" t="s">
        <v>3285</v>
      </c>
      <c r="B1644" s="2" t="s">
        <v>3286</v>
      </c>
    </row>
    <row r="1645" spans="1:2" x14ac:dyDescent="0.4">
      <c r="A1645" s="2" t="s">
        <v>3287</v>
      </c>
      <c r="B1645" s="2" t="s">
        <v>3288</v>
      </c>
    </row>
    <row r="1646" spans="1:2" x14ac:dyDescent="0.4">
      <c r="A1646" s="2" t="s">
        <v>3289</v>
      </c>
      <c r="B1646" s="2" t="s">
        <v>3290</v>
      </c>
    </row>
    <row r="1647" spans="1:2" x14ac:dyDescent="0.4">
      <c r="A1647" s="2" t="s">
        <v>3291</v>
      </c>
      <c r="B1647" s="2" t="s">
        <v>3292</v>
      </c>
    </row>
    <row r="1648" spans="1:2" x14ac:dyDescent="0.4">
      <c r="A1648" s="2" t="s">
        <v>3293</v>
      </c>
      <c r="B1648" s="2" t="s">
        <v>3294</v>
      </c>
    </row>
    <row r="1649" spans="1:2" x14ac:dyDescent="0.4">
      <c r="A1649" s="2" t="s">
        <v>3295</v>
      </c>
      <c r="B1649" s="2" t="s">
        <v>3296</v>
      </c>
    </row>
    <row r="1650" spans="1:2" x14ac:dyDescent="0.4">
      <c r="A1650" s="2" t="s">
        <v>3297</v>
      </c>
      <c r="B1650" s="2" t="s">
        <v>3298</v>
      </c>
    </row>
    <row r="1651" spans="1:2" x14ac:dyDescent="0.4">
      <c r="A1651" s="2" t="s">
        <v>3299</v>
      </c>
      <c r="B1651" s="2" t="s">
        <v>3300</v>
      </c>
    </row>
    <row r="1652" spans="1:2" x14ac:dyDescent="0.4">
      <c r="A1652" s="2" t="s">
        <v>3301</v>
      </c>
      <c r="B1652" s="2" t="s">
        <v>3302</v>
      </c>
    </row>
    <row r="1653" spans="1:2" x14ac:dyDescent="0.4">
      <c r="A1653" s="2" t="s">
        <v>3303</v>
      </c>
      <c r="B1653" s="2" t="s">
        <v>3304</v>
      </c>
    </row>
    <row r="1654" spans="1:2" x14ac:dyDescent="0.4">
      <c r="A1654" s="2" t="s">
        <v>3305</v>
      </c>
      <c r="B1654" s="2" t="s">
        <v>3306</v>
      </c>
    </row>
    <row r="1655" spans="1:2" x14ac:dyDescent="0.4">
      <c r="A1655" s="2" t="s">
        <v>3307</v>
      </c>
      <c r="B1655" s="2" t="s">
        <v>3308</v>
      </c>
    </row>
    <row r="1656" spans="1:2" x14ac:dyDescent="0.4">
      <c r="A1656" s="2" t="s">
        <v>3309</v>
      </c>
      <c r="B1656" s="2" t="s">
        <v>3310</v>
      </c>
    </row>
    <row r="1657" spans="1:2" x14ac:dyDescent="0.4">
      <c r="A1657" s="2" t="s">
        <v>3311</v>
      </c>
      <c r="B1657" s="2" t="s">
        <v>3312</v>
      </c>
    </row>
    <row r="1658" spans="1:2" x14ac:dyDescent="0.4">
      <c r="A1658" s="2" t="s">
        <v>3313</v>
      </c>
      <c r="B1658" s="2" t="s">
        <v>3314</v>
      </c>
    </row>
    <row r="1659" spans="1:2" x14ac:dyDescent="0.4">
      <c r="A1659" s="2" t="s">
        <v>3315</v>
      </c>
      <c r="B1659" s="2" t="s">
        <v>3316</v>
      </c>
    </row>
    <row r="1660" spans="1:2" x14ac:dyDescent="0.4">
      <c r="A1660" s="2" t="s">
        <v>3317</v>
      </c>
      <c r="B1660" s="2" t="s">
        <v>3318</v>
      </c>
    </row>
    <row r="1661" spans="1:2" x14ac:dyDescent="0.4">
      <c r="A1661" s="2" t="s">
        <v>3319</v>
      </c>
      <c r="B1661" s="2" t="s">
        <v>3320</v>
      </c>
    </row>
    <row r="1662" spans="1:2" x14ac:dyDescent="0.4">
      <c r="A1662" s="2" t="s">
        <v>3321</v>
      </c>
      <c r="B1662" s="2" t="s">
        <v>3322</v>
      </c>
    </row>
    <row r="1663" spans="1:2" x14ac:dyDescent="0.4">
      <c r="A1663" s="2" t="s">
        <v>3323</v>
      </c>
      <c r="B1663" s="2" t="s">
        <v>3324</v>
      </c>
    </row>
    <row r="1664" spans="1:2" x14ac:dyDescent="0.4">
      <c r="A1664" s="2" t="s">
        <v>3325</v>
      </c>
      <c r="B1664" s="2" t="s">
        <v>3326</v>
      </c>
    </row>
    <row r="1665" spans="1:2" x14ac:dyDescent="0.4">
      <c r="A1665" s="2" t="s">
        <v>3327</v>
      </c>
      <c r="B1665" s="2" t="s">
        <v>3328</v>
      </c>
    </row>
    <row r="1666" spans="1:2" x14ac:dyDescent="0.4">
      <c r="A1666" s="2" t="s">
        <v>3329</v>
      </c>
      <c r="B1666" s="2" t="s">
        <v>3330</v>
      </c>
    </row>
    <row r="1667" spans="1:2" x14ac:dyDescent="0.4">
      <c r="A1667" s="2" t="s">
        <v>3331</v>
      </c>
      <c r="B1667" s="2" t="s">
        <v>3332</v>
      </c>
    </row>
    <row r="1668" spans="1:2" x14ac:dyDescent="0.4">
      <c r="A1668" s="2" t="s">
        <v>3333</v>
      </c>
      <c r="B1668" s="2" t="s">
        <v>3334</v>
      </c>
    </row>
    <row r="1669" spans="1:2" x14ac:dyDescent="0.4">
      <c r="A1669" s="2" t="s">
        <v>3335</v>
      </c>
      <c r="B1669" s="2" t="s">
        <v>3336</v>
      </c>
    </row>
    <row r="1670" spans="1:2" x14ac:dyDescent="0.4">
      <c r="A1670" s="2" t="s">
        <v>3337</v>
      </c>
      <c r="B1670" s="2" t="s">
        <v>3338</v>
      </c>
    </row>
    <row r="1671" spans="1:2" x14ac:dyDescent="0.4">
      <c r="A1671" s="2" t="s">
        <v>3339</v>
      </c>
      <c r="B1671" s="2" t="s">
        <v>3340</v>
      </c>
    </row>
    <row r="1672" spans="1:2" x14ac:dyDescent="0.4">
      <c r="A1672" s="2" t="s">
        <v>3341</v>
      </c>
      <c r="B1672" s="2" t="s">
        <v>3342</v>
      </c>
    </row>
    <row r="1673" spans="1:2" x14ac:dyDescent="0.4">
      <c r="A1673" s="2" t="s">
        <v>3343</v>
      </c>
      <c r="B1673" s="2" t="s">
        <v>3344</v>
      </c>
    </row>
    <row r="1674" spans="1:2" x14ac:dyDescent="0.4">
      <c r="A1674" s="2" t="s">
        <v>3345</v>
      </c>
      <c r="B1674" s="2" t="s">
        <v>3346</v>
      </c>
    </row>
    <row r="1675" spans="1:2" x14ac:dyDescent="0.4">
      <c r="A1675" s="2" t="s">
        <v>3347</v>
      </c>
      <c r="B1675" s="2" t="s">
        <v>3348</v>
      </c>
    </row>
    <row r="1676" spans="1:2" x14ac:dyDescent="0.4">
      <c r="A1676" s="2" t="s">
        <v>3349</v>
      </c>
      <c r="B1676" s="2" t="s">
        <v>3350</v>
      </c>
    </row>
    <row r="1677" spans="1:2" x14ac:dyDescent="0.4">
      <c r="A1677" s="2" t="s">
        <v>3351</v>
      </c>
      <c r="B1677" s="2" t="s">
        <v>3352</v>
      </c>
    </row>
    <row r="1678" spans="1:2" x14ac:dyDescent="0.4">
      <c r="A1678" s="2" t="s">
        <v>3353</v>
      </c>
      <c r="B1678" s="2" t="s">
        <v>3354</v>
      </c>
    </row>
    <row r="1679" spans="1:2" x14ac:dyDescent="0.4">
      <c r="A1679" s="2" t="s">
        <v>3355</v>
      </c>
      <c r="B1679" s="2" t="s">
        <v>3356</v>
      </c>
    </row>
    <row r="1680" spans="1:2" x14ac:dyDescent="0.4">
      <c r="A1680" s="2" t="s">
        <v>3357</v>
      </c>
      <c r="B1680" s="2" t="s">
        <v>3358</v>
      </c>
    </row>
    <row r="1681" spans="1:2" x14ac:dyDescent="0.4">
      <c r="A1681" s="2" t="s">
        <v>3359</v>
      </c>
      <c r="B1681" s="2" t="s">
        <v>3360</v>
      </c>
    </row>
    <row r="1682" spans="1:2" x14ac:dyDescent="0.4">
      <c r="A1682" s="2" t="s">
        <v>3361</v>
      </c>
      <c r="B1682" s="2" t="s">
        <v>3362</v>
      </c>
    </row>
    <row r="1683" spans="1:2" x14ac:dyDescent="0.4">
      <c r="A1683" s="2" t="s">
        <v>3363</v>
      </c>
      <c r="B1683" s="2" t="s">
        <v>3364</v>
      </c>
    </row>
    <row r="1684" spans="1:2" x14ac:dyDescent="0.4">
      <c r="A1684" s="2" t="s">
        <v>3365</v>
      </c>
      <c r="B1684" s="2" t="s">
        <v>3366</v>
      </c>
    </row>
    <row r="1685" spans="1:2" x14ac:dyDescent="0.4">
      <c r="A1685" s="2" t="s">
        <v>3367</v>
      </c>
      <c r="B1685" s="2" t="s">
        <v>3368</v>
      </c>
    </row>
    <row r="1686" spans="1:2" x14ac:dyDescent="0.4">
      <c r="A1686" s="2" t="s">
        <v>3369</v>
      </c>
      <c r="B1686" s="2" t="s">
        <v>3370</v>
      </c>
    </row>
    <row r="1687" spans="1:2" x14ac:dyDescent="0.4">
      <c r="A1687" s="2" t="s">
        <v>3371</v>
      </c>
      <c r="B1687" s="2" t="s">
        <v>3372</v>
      </c>
    </row>
    <row r="1688" spans="1:2" x14ac:dyDescent="0.4">
      <c r="A1688" s="2" t="s">
        <v>3373</v>
      </c>
      <c r="B1688" s="2" t="s">
        <v>3374</v>
      </c>
    </row>
    <row r="1689" spans="1:2" x14ac:dyDescent="0.4">
      <c r="A1689" s="2" t="s">
        <v>3375</v>
      </c>
      <c r="B1689" s="2" t="s">
        <v>3376</v>
      </c>
    </row>
    <row r="1690" spans="1:2" x14ac:dyDescent="0.4">
      <c r="A1690" s="2" t="s">
        <v>3377</v>
      </c>
      <c r="B1690" s="2" t="s">
        <v>3378</v>
      </c>
    </row>
    <row r="1691" spans="1:2" x14ac:dyDescent="0.4">
      <c r="A1691" s="2" t="s">
        <v>3379</v>
      </c>
      <c r="B1691" s="2" t="s">
        <v>3380</v>
      </c>
    </row>
    <row r="1692" spans="1:2" x14ac:dyDescent="0.4">
      <c r="A1692" s="2" t="s">
        <v>3381</v>
      </c>
      <c r="B1692" s="2" t="s">
        <v>3382</v>
      </c>
    </row>
    <row r="1693" spans="1:2" x14ac:dyDescent="0.4">
      <c r="A1693" s="2" t="s">
        <v>3383</v>
      </c>
      <c r="B1693" s="2" t="s">
        <v>3384</v>
      </c>
    </row>
    <row r="1694" spans="1:2" x14ac:dyDescent="0.4">
      <c r="A1694" s="2" t="s">
        <v>3385</v>
      </c>
      <c r="B1694" s="2" t="s">
        <v>3386</v>
      </c>
    </row>
    <row r="1695" spans="1:2" x14ac:dyDescent="0.4">
      <c r="A1695" s="2" t="s">
        <v>3387</v>
      </c>
      <c r="B1695" s="2" t="s">
        <v>3388</v>
      </c>
    </row>
    <row r="1696" spans="1:2" x14ac:dyDescent="0.4">
      <c r="A1696" s="2" t="s">
        <v>3389</v>
      </c>
      <c r="B1696" s="2" t="s">
        <v>3390</v>
      </c>
    </row>
    <row r="1697" spans="1:2" x14ac:dyDescent="0.4">
      <c r="A1697" s="2" t="s">
        <v>3391</v>
      </c>
      <c r="B1697" s="2" t="s">
        <v>3392</v>
      </c>
    </row>
    <row r="1698" spans="1:2" x14ac:dyDescent="0.4">
      <c r="A1698" s="2" t="s">
        <v>3393</v>
      </c>
      <c r="B1698" s="2" t="s">
        <v>3394</v>
      </c>
    </row>
    <row r="1699" spans="1:2" x14ac:dyDescent="0.4">
      <c r="A1699" s="2" t="s">
        <v>3395</v>
      </c>
      <c r="B1699" s="2" t="s">
        <v>3396</v>
      </c>
    </row>
    <row r="1700" spans="1:2" x14ac:dyDescent="0.4">
      <c r="A1700" s="2" t="s">
        <v>3397</v>
      </c>
      <c r="B1700" s="2" t="s">
        <v>3398</v>
      </c>
    </row>
    <row r="1701" spans="1:2" x14ac:dyDescent="0.4">
      <c r="A1701" s="2" t="s">
        <v>3399</v>
      </c>
      <c r="B1701" s="2" t="s">
        <v>3400</v>
      </c>
    </row>
    <row r="1702" spans="1:2" x14ac:dyDescent="0.4">
      <c r="A1702" s="2" t="s">
        <v>3401</v>
      </c>
      <c r="B1702" s="2" t="s">
        <v>3402</v>
      </c>
    </row>
    <row r="1703" spans="1:2" x14ac:dyDescent="0.4">
      <c r="A1703" s="2" t="s">
        <v>3403</v>
      </c>
      <c r="B1703" s="2" t="s">
        <v>3404</v>
      </c>
    </row>
    <row r="1704" spans="1:2" x14ac:dyDescent="0.4">
      <c r="A1704" s="2" t="s">
        <v>3405</v>
      </c>
      <c r="B1704" s="2" t="s">
        <v>3406</v>
      </c>
    </row>
    <row r="1705" spans="1:2" x14ac:dyDescent="0.4">
      <c r="A1705" s="2" t="s">
        <v>3407</v>
      </c>
      <c r="B1705" s="2" t="s">
        <v>3408</v>
      </c>
    </row>
    <row r="1706" spans="1:2" x14ac:dyDescent="0.4">
      <c r="A1706" s="2" t="s">
        <v>3409</v>
      </c>
      <c r="B1706" s="2" t="s">
        <v>3410</v>
      </c>
    </row>
    <row r="1707" spans="1:2" x14ac:dyDescent="0.4">
      <c r="A1707" s="2" t="s">
        <v>3411</v>
      </c>
      <c r="B1707" s="2" t="s">
        <v>3412</v>
      </c>
    </row>
    <row r="1708" spans="1:2" x14ac:dyDescent="0.4">
      <c r="A1708" s="2" t="s">
        <v>3413</v>
      </c>
      <c r="B1708" s="2" t="s">
        <v>3414</v>
      </c>
    </row>
    <row r="1709" spans="1:2" x14ac:dyDescent="0.4">
      <c r="A1709" s="2" t="s">
        <v>3415</v>
      </c>
      <c r="B1709" s="2" t="s">
        <v>3416</v>
      </c>
    </row>
    <row r="1710" spans="1:2" x14ac:dyDescent="0.4">
      <c r="A1710" s="2" t="s">
        <v>3417</v>
      </c>
      <c r="B1710" s="2" t="s">
        <v>3418</v>
      </c>
    </row>
    <row r="1711" spans="1:2" x14ac:dyDescent="0.4">
      <c r="A1711" s="2" t="s">
        <v>3419</v>
      </c>
      <c r="B1711" s="2" t="s">
        <v>3420</v>
      </c>
    </row>
    <row r="1712" spans="1:2" x14ac:dyDescent="0.4">
      <c r="A1712" s="2" t="s">
        <v>3421</v>
      </c>
      <c r="B1712" s="2" t="s">
        <v>3422</v>
      </c>
    </row>
    <row r="1713" spans="1:2" x14ac:dyDescent="0.4">
      <c r="A1713" s="2" t="s">
        <v>3423</v>
      </c>
      <c r="B1713" s="2" t="s">
        <v>3424</v>
      </c>
    </row>
    <row r="1714" spans="1:2" x14ac:dyDescent="0.4">
      <c r="A1714" s="2" t="s">
        <v>3425</v>
      </c>
      <c r="B1714" s="2" t="s">
        <v>3426</v>
      </c>
    </row>
    <row r="1715" spans="1:2" x14ac:dyDescent="0.4">
      <c r="A1715" s="2" t="s">
        <v>3427</v>
      </c>
      <c r="B1715" s="2" t="s">
        <v>3428</v>
      </c>
    </row>
    <row r="1716" spans="1:2" x14ac:dyDescent="0.4">
      <c r="A1716" s="2" t="s">
        <v>3429</v>
      </c>
      <c r="B1716" s="2" t="s">
        <v>3430</v>
      </c>
    </row>
    <row r="1717" spans="1:2" x14ac:dyDescent="0.4">
      <c r="A1717" s="2" t="s">
        <v>3431</v>
      </c>
      <c r="B1717" s="2" t="s">
        <v>3432</v>
      </c>
    </row>
    <row r="1718" spans="1:2" x14ac:dyDescent="0.4">
      <c r="A1718" s="2" t="s">
        <v>3433</v>
      </c>
      <c r="B1718" s="2" t="s">
        <v>3434</v>
      </c>
    </row>
    <row r="1719" spans="1:2" x14ac:dyDescent="0.4">
      <c r="A1719" s="2" t="s">
        <v>3435</v>
      </c>
      <c r="B1719" s="2" t="s">
        <v>3436</v>
      </c>
    </row>
    <row r="1720" spans="1:2" x14ac:dyDescent="0.4">
      <c r="A1720" s="2" t="s">
        <v>3437</v>
      </c>
      <c r="B1720" s="2" t="s">
        <v>3438</v>
      </c>
    </row>
    <row r="1721" spans="1:2" x14ac:dyDescent="0.4">
      <c r="A1721" s="2" t="s">
        <v>3439</v>
      </c>
      <c r="B1721" s="2" t="s">
        <v>3440</v>
      </c>
    </row>
    <row r="1722" spans="1:2" x14ac:dyDescent="0.4">
      <c r="A1722" s="2" t="s">
        <v>3441</v>
      </c>
      <c r="B1722" s="2" t="s">
        <v>3442</v>
      </c>
    </row>
    <row r="1723" spans="1:2" x14ac:dyDescent="0.4">
      <c r="A1723" s="2" t="s">
        <v>3443</v>
      </c>
      <c r="B1723" s="2" t="s">
        <v>3444</v>
      </c>
    </row>
    <row r="1724" spans="1:2" x14ac:dyDescent="0.4">
      <c r="A1724" s="2" t="s">
        <v>3445</v>
      </c>
      <c r="B1724" s="2" t="s">
        <v>3446</v>
      </c>
    </row>
    <row r="1725" spans="1:2" x14ac:dyDescent="0.4">
      <c r="A1725" s="2" t="s">
        <v>3447</v>
      </c>
      <c r="B1725" s="2" t="s">
        <v>3448</v>
      </c>
    </row>
    <row r="1726" spans="1:2" x14ac:dyDescent="0.4">
      <c r="A1726" s="2" t="s">
        <v>3449</v>
      </c>
      <c r="B1726" s="2" t="s">
        <v>3450</v>
      </c>
    </row>
    <row r="1727" spans="1:2" x14ac:dyDescent="0.4">
      <c r="A1727" s="2" t="s">
        <v>3451</v>
      </c>
      <c r="B1727" s="2" t="s">
        <v>3452</v>
      </c>
    </row>
    <row r="1728" spans="1:2" x14ac:dyDescent="0.4">
      <c r="A1728" s="2" t="s">
        <v>3453</v>
      </c>
      <c r="B1728" s="2" t="s">
        <v>3454</v>
      </c>
    </row>
    <row r="1729" spans="1:2" x14ac:dyDescent="0.4">
      <c r="A1729" s="2" t="s">
        <v>3455</v>
      </c>
      <c r="B1729" s="2" t="s">
        <v>3456</v>
      </c>
    </row>
    <row r="1730" spans="1:2" x14ac:dyDescent="0.4">
      <c r="A1730" s="2" t="s">
        <v>3457</v>
      </c>
      <c r="B1730" s="2" t="s">
        <v>3458</v>
      </c>
    </row>
    <row r="1731" spans="1:2" x14ac:dyDescent="0.4">
      <c r="A1731" s="2" t="s">
        <v>3459</v>
      </c>
      <c r="B1731" s="2" t="s">
        <v>3460</v>
      </c>
    </row>
    <row r="1732" spans="1:2" x14ac:dyDescent="0.4">
      <c r="A1732" s="2" t="s">
        <v>3461</v>
      </c>
      <c r="B1732" s="2" t="s">
        <v>3462</v>
      </c>
    </row>
    <row r="1733" spans="1:2" x14ac:dyDescent="0.4">
      <c r="A1733" s="2" t="s">
        <v>3463</v>
      </c>
      <c r="B1733" s="2" t="s">
        <v>3464</v>
      </c>
    </row>
    <row r="1734" spans="1:2" x14ac:dyDescent="0.4">
      <c r="A1734" s="2" t="s">
        <v>3465</v>
      </c>
      <c r="B1734" s="2" t="s">
        <v>3466</v>
      </c>
    </row>
    <row r="1735" spans="1:2" x14ac:dyDescent="0.4">
      <c r="A1735" s="2" t="s">
        <v>3467</v>
      </c>
      <c r="B1735" s="2" t="s">
        <v>3468</v>
      </c>
    </row>
    <row r="1736" spans="1:2" x14ac:dyDescent="0.4">
      <c r="A1736" s="2" t="s">
        <v>3469</v>
      </c>
      <c r="B1736" s="2" t="s">
        <v>3470</v>
      </c>
    </row>
    <row r="1737" spans="1:2" x14ac:dyDescent="0.4">
      <c r="A1737" s="2" t="s">
        <v>3471</v>
      </c>
      <c r="B1737" s="2" t="s">
        <v>3472</v>
      </c>
    </row>
    <row r="1738" spans="1:2" x14ac:dyDescent="0.4">
      <c r="A1738" s="2" t="s">
        <v>3473</v>
      </c>
      <c r="B1738" s="2" t="s">
        <v>3474</v>
      </c>
    </row>
    <row r="1739" spans="1:2" x14ac:dyDescent="0.4">
      <c r="A1739" s="2" t="s">
        <v>3475</v>
      </c>
      <c r="B1739" s="2" t="s">
        <v>3476</v>
      </c>
    </row>
    <row r="1740" spans="1:2" x14ac:dyDescent="0.4">
      <c r="A1740" s="2" t="s">
        <v>3477</v>
      </c>
      <c r="B1740" s="2" t="s">
        <v>3478</v>
      </c>
    </row>
    <row r="1741" spans="1:2" x14ac:dyDescent="0.4">
      <c r="A1741" s="2" t="s">
        <v>3479</v>
      </c>
      <c r="B1741" s="2" t="s">
        <v>3480</v>
      </c>
    </row>
    <row r="1742" spans="1:2" x14ac:dyDescent="0.4">
      <c r="A1742" s="2" t="s">
        <v>3481</v>
      </c>
      <c r="B1742" s="2" t="s">
        <v>3482</v>
      </c>
    </row>
    <row r="1743" spans="1:2" x14ac:dyDescent="0.4">
      <c r="A1743" s="2" t="s">
        <v>3483</v>
      </c>
      <c r="B1743" s="2" t="s">
        <v>3484</v>
      </c>
    </row>
    <row r="1744" spans="1:2" x14ac:dyDescent="0.4">
      <c r="A1744" s="2" t="s">
        <v>3485</v>
      </c>
      <c r="B1744" s="2" t="s">
        <v>3486</v>
      </c>
    </row>
    <row r="1745" spans="1:2" x14ac:dyDescent="0.4">
      <c r="A1745" s="2" t="s">
        <v>3487</v>
      </c>
      <c r="B1745" s="2" t="s">
        <v>3488</v>
      </c>
    </row>
    <row r="1746" spans="1:2" x14ac:dyDescent="0.4">
      <c r="A1746" s="2" t="s">
        <v>3489</v>
      </c>
      <c r="B1746" s="2" t="s">
        <v>3490</v>
      </c>
    </row>
    <row r="1747" spans="1:2" x14ac:dyDescent="0.4">
      <c r="A1747" s="2" t="s">
        <v>3491</v>
      </c>
      <c r="B1747" s="2" t="s">
        <v>3492</v>
      </c>
    </row>
    <row r="1748" spans="1:2" x14ac:dyDescent="0.4">
      <c r="A1748" s="2" t="s">
        <v>3493</v>
      </c>
      <c r="B1748" s="2" t="s">
        <v>3494</v>
      </c>
    </row>
    <row r="1749" spans="1:2" x14ac:dyDescent="0.4">
      <c r="A1749" s="2" t="s">
        <v>3495</v>
      </c>
      <c r="B1749" s="2" t="s">
        <v>3496</v>
      </c>
    </row>
    <row r="1750" spans="1:2" x14ac:dyDescent="0.4">
      <c r="A1750" s="2" t="s">
        <v>3497</v>
      </c>
      <c r="B1750" s="2" t="s">
        <v>3498</v>
      </c>
    </row>
    <row r="1751" spans="1:2" x14ac:dyDescent="0.4">
      <c r="A1751" s="2" t="s">
        <v>3499</v>
      </c>
      <c r="B1751" s="2" t="s">
        <v>3500</v>
      </c>
    </row>
    <row r="1752" spans="1:2" x14ac:dyDescent="0.4">
      <c r="A1752" s="2" t="s">
        <v>3501</v>
      </c>
      <c r="B1752" s="2" t="s">
        <v>3502</v>
      </c>
    </row>
    <row r="1753" spans="1:2" x14ac:dyDescent="0.4">
      <c r="A1753" s="2" t="s">
        <v>3503</v>
      </c>
      <c r="B1753" s="2" t="s">
        <v>3504</v>
      </c>
    </row>
    <row r="1754" spans="1:2" x14ac:dyDescent="0.4">
      <c r="A1754" s="2" t="s">
        <v>3505</v>
      </c>
      <c r="B1754" s="2" t="s">
        <v>3506</v>
      </c>
    </row>
    <row r="1755" spans="1:2" x14ac:dyDescent="0.4">
      <c r="A1755" s="2" t="s">
        <v>3507</v>
      </c>
      <c r="B1755" s="2" t="s">
        <v>3508</v>
      </c>
    </row>
    <row r="1756" spans="1:2" x14ac:dyDescent="0.4">
      <c r="A1756" s="2" t="s">
        <v>3509</v>
      </c>
      <c r="B1756" s="2" t="s">
        <v>3510</v>
      </c>
    </row>
    <row r="1757" spans="1:2" x14ac:dyDescent="0.4">
      <c r="A1757" s="2" t="s">
        <v>3511</v>
      </c>
      <c r="B1757" s="2" t="s">
        <v>3512</v>
      </c>
    </row>
    <row r="1758" spans="1:2" x14ac:dyDescent="0.4">
      <c r="A1758" s="2" t="s">
        <v>3513</v>
      </c>
      <c r="B1758" s="2" t="s">
        <v>3514</v>
      </c>
    </row>
    <row r="1759" spans="1:2" x14ac:dyDescent="0.4">
      <c r="A1759" s="2" t="s">
        <v>3515</v>
      </c>
      <c r="B1759" s="2" t="s">
        <v>3516</v>
      </c>
    </row>
    <row r="1760" spans="1:2" x14ac:dyDescent="0.4">
      <c r="A1760" s="2" t="s">
        <v>3517</v>
      </c>
      <c r="B1760" s="2" t="s">
        <v>3518</v>
      </c>
    </row>
    <row r="1761" spans="1:2" x14ac:dyDescent="0.4">
      <c r="A1761" s="2" t="s">
        <v>3519</v>
      </c>
      <c r="B1761" s="2" t="s">
        <v>3520</v>
      </c>
    </row>
    <row r="1762" spans="1:2" x14ac:dyDescent="0.4">
      <c r="A1762" s="2" t="s">
        <v>3521</v>
      </c>
      <c r="B1762" s="2" t="s">
        <v>3522</v>
      </c>
    </row>
    <row r="1763" spans="1:2" x14ac:dyDescent="0.4">
      <c r="A1763" s="2" t="s">
        <v>3523</v>
      </c>
      <c r="B1763" s="2" t="s">
        <v>3524</v>
      </c>
    </row>
    <row r="1764" spans="1:2" x14ac:dyDescent="0.4">
      <c r="A1764" s="2" t="s">
        <v>3525</v>
      </c>
      <c r="B1764" s="2" t="s">
        <v>3526</v>
      </c>
    </row>
    <row r="1765" spans="1:2" x14ac:dyDescent="0.4">
      <c r="A1765" s="2" t="s">
        <v>3527</v>
      </c>
      <c r="B1765" s="2" t="s">
        <v>3528</v>
      </c>
    </row>
    <row r="1766" spans="1:2" x14ac:dyDescent="0.4">
      <c r="A1766" s="2" t="s">
        <v>3529</v>
      </c>
      <c r="B1766" s="2" t="s">
        <v>3530</v>
      </c>
    </row>
    <row r="1767" spans="1:2" x14ac:dyDescent="0.4">
      <c r="A1767" s="2" t="s">
        <v>3531</v>
      </c>
      <c r="B1767" s="2" t="s">
        <v>3532</v>
      </c>
    </row>
    <row r="1768" spans="1:2" x14ac:dyDescent="0.4">
      <c r="A1768" s="2" t="s">
        <v>3533</v>
      </c>
      <c r="B1768" s="2" t="s">
        <v>3534</v>
      </c>
    </row>
    <row r="1769" spans="1:2" x14ac:dyDescent="0.4">
      <c r="A1769" s="2" t="s">
        <v>3535</v>
      </c>
      <c r="B1769" s="2" t="s">
        <v>3536</v>
      </c>
    </row>
    <row r="1770" spans="1:2" x14ac:dyDescent="0.4">
      <c r="A1770" s="2" t="s">
        <v>3537</v>
      </c>
      <c r="B1770" s="2" t="s">
        <v>3538</v>
      </c>
    </row>
    <row r="1771" spans="1:2" x14ac:dyDescent="0.4">
      <c r="A1771" s="2" t="s">
        <v>3539</v>
      </c>
      <c r="B1771" s="2" t="s">
        <v>3540</v>
      </c>
    </row>
    <row r="1772" spans="1:2" x14ac:dyDescent="0.4">
      <c r="A1772" s="2" t="s">
        <v>3541</v>
      </c>
      <c r="B1772" s="2" t="s">
        <v>3542</v>
      </c>
    </row>
    <row r="1773" spans="1:2" x14ac:dyDescent="0.4">
      <c r="A1773" s="2" t="s">
        <v>3543</v>
      </c>
      <c r="B1773" s="2" t="s">
        <v>3544</v>
      </c>
    </row>
    <row r="1774" spans="1:2" x14ac:dyDescent="0.4">
      <c r="A1774" s="2" t="s">
        <v>3545</v>
      </c>
      <c r="B1774" s="2" t="s">
        <v>3546</v>
      </c>
    </row>
    <row r="1775" spans="1:2" x14ac:dyDescent="0.4">
      <c r="A1775" s="2" t="s">
        <v>3547</v>
      </c>
      <c r="B1775" s="2" t="s">
        <v>3548</v>
      </c>
    </row>
    <row r="1776" spans="1:2" x14ac:dyDescent="0.4">
      <c r="A1776" s="2" t="s">
        <v>3549</v>
      </c>
      <c r="B1776" s="2" t="s">
        <v>3550</v>
      </c>
    </row>
    <row r="1777" spans="1:2" x14ac:dyDescent="0.4">
      <c r="A1777" s="2" t="s">
        <v>3551</v>
      </c>
      <c r="B1777" s="2" t="s">
        <v>3552</v>
      </c>
    </row>
    <row r="1778" spans="1:2" x14ac:dyDescent="0.4">
      <c r="A1778" s="2" t="s">
        <v>3553</v>
      </c>
      <c r="B1778" s="2" t="s">
        <v>3554</v>
      </c>
    </row>
    <row r="1779" spans="1:2" x14ac:dyDescent="0.4">
      <c r="A1779" s="2" t="s">
        <v>3555</v>
      </c>
      <c r="B1779" s="2" t="s">
        <v>3556</v>
      </c>
    </row>
    <row r="1780" spans="1:2" x14ac:dyDescent="0.4">
      <c r="A1780" s="2" t="s">
        <v>3557</v>
      </c>
      <c r="B1780" s="2" t="s">
        <v>3558</v>
      </c>
    </row>
    <row r="1781" spans="1:2" x14ac:dyDescent="0.4">
      <c r="A1781" s="2" t="s">
        <v>3559</v>
      </c>
      <c r="B1781" s="2" t="s">
        <v>3560</v>
      </c>
    </row>
    <row r="1782" spans="1:2" x14ac:dyDescent="0.4">
      <c r="A1782" s="2" t="s">
        <v>3561</v>
      </c>
      <c r="B1782" s="2" t="s">
        <v>3562</v>
      </c>
    </row>
    <row r="1783" spans="1:2" x14ac:dyDescent="0.4">
      <c r="A1783" s="2" t="s">
        <v>3563</v>
      </c>
      <c r="B1783" s="2" t="s">
        <v>3564</v>
      </c>
    </row>
    <row r="1784" spans="1:2" x14ac:dyDescent="0.4">
      <c r="A1784" s="2" t="s">
        <v>3565</v>
      </c>
      <c r="B1784" s="2" t="s">
        <v>3566</v>
      </c>
    </row>
    <row r="1785" spans="1:2" x14ac:dyDescent="0.4">
      <c r="A1785" s="2" t="s">
        <v>3567</v>
      </c>
      <c r="B1785" s="2" t="s">
        <v>3568</v>
      </c>
    </row>
    <row r="1786" spans="1:2" x14ac:dyDescent="0.4">
      <c r="A1786" s="2" t="s">
        <v>3569</v>
      </c>
      <c r="B1786" s="2" t="s">
        <v>3570</v>
      </c>
    </row>
    <row r="1787" spans="1:2" x14ac:dyDescent="0.4">
      <c r="A1787" s="2" t="s">
        <v>3571</v>
      </c>
      <c r="B1787" s="2" t="s">
        <v>3572</v>
      </c>
    </row>
    <row r="1788" spans="1:2" x14ac:dyDescent="0.4">
      <c r="A1788" s="2" t="s">
        <v>3573</v>
      </c>
      <c r="B1788" s="2" t="s">
        <v>3574</v>
      </c>
    </row>
    <row r="1789" spans="1:2" x14ac:dyDescent="0.4">
      <c r="A1789" s="2" t="s">
        <v>3575</v>
      </c>
      <c r="B1789" s="2" t="s">
        <v>3576</v>
      </c>
    </row>
    <row r="1790" spans="1:2" x14ac:dyDescent="0.4">
      <c r="A1790" s="2" t="s">
        <v>3577</v>
      </c>
      <c r="B1790" s="2" t="s">
        <v>3578</v>
      </c>
    </row>
    <row r="1791" spans="1:2" x14ac:dyDescent="0.4">
      <c r="A1791" s="2" t="s">
        <v>3579</v>
      </c>
      <c r="B1791" s="2" t="s">
        <v>3580</v>
      </c>
    </row>
    <row r="1792" spans="1:2" x14ac:dyDescent="0.4">
      <c r="A1792" s="2" t="s">
        <v>3581</v>
      </c>
      <c r="B1792" s="2" t="s">
        <v>3582</v>
      </c>
    </row>
    <row r="1793" spans="1:2" x14ac:dyDescent="0.4">
      <c r="A1793" s="2" t="s">
        <v>3583</v>
      </c>
      <c r="B1793" s="2" t="s">
        <v>3584</v>
      </c>
    </row>
    <row r="1794" spans="1:2" x14ac:dyDescent="0.4">
      <c r="A1794" s="2" t="s">
        <v>3585</v>
      </c>
      <c r="B1794" s="2" t="s">
        <v>3586</v>
      </c>
    </row>
    <row r="1795" spans="1:2" x14ac:dyDescent="0.4">
      <c r="A1795" s="2" t="s">
        <v>3587</v>
      </c>
      <c r="B1795" s="2" t="s">
        <v>3588</v>
      </c>
    </row>
    <row r="1796" spans="1:2" x14ac:dyDescent="0.4">
      <c r="A1796" s="2" t="s">
        <v>3589</v>
      </c>
      <c r="B1796" s="2" t="s">
        <v>3590</v>
      </c>
    </row>
    <row r="1797" spans="1:2" x14ac:dyDescent="0.4">
      <c r="A1797" s="2" t="s">
        <v>3591</v>
      </c>
      <c r="B1797" s="2" t="s">
        <v>3592</v>
      </c>
    </row>
    <row r="1798" spans="1:2" x14ac:dyDescent="0.4">
      <c r="A1798" s="2" t="s">
        <v>3593</v>
      </c>
      <c r="B1798" s="2" t="s">
        <v>3594</v>
      </c>
    </row>
    <row r="1799" spans="1:2" x14ac:dyDescent="0.4">
      <c r="A1799" s="2" t="s">
        <v>3595</v>
      </c>
      <c r="B1799" s="2" t="s">
        <v>3596</v>
      </c>
    </row>
    <row r="1800" spans="1:2" x14ac:dyDescent="0.4">
      <c r="A1800" s="2" t="s">
        <v>3597</v>
      </c>
      <c r="B1800" s="2" t="s">
        <v>3598</v>
      </c>
    </row>
    <row r="1801" spans="1:2" x14ac:dyDescent="0.4">
      <c r="A1801" s="2" t="s">
        <v>3599</v>
      </c>
      <c r="B1801" s="2" t="s">
        <v>3600</v>
      </c>
    </row>
    <row r="1802" spans="1:2" x14ac:dyDescent="0.4">
      <c r="A1802" s="2" t="s">
        <v>3601</v>
      </c>
      <c r="B1802" s="2" t="s">
        <v>3602</v>
      </c>
    </row>
    <row r="1803" spans="1:2" x14ac:dyDescent="0.4">
      <c r="A1803" s="2" t="s">
        <v>3603</v>
      </c>
      <c r="B1803" s="2" t="s">
        <v>3604</v>
      </c>
    </row>
    <row r="1804" spans="1:2" x14ac:dyDescent="0.4">
      <c r="A1804" s="2" t="s">
        <v>3605</v>
      </c>
      <c r="B1804" s="2" t="s">
        <v>3606</v>
      </c>
    </row>
    <row r="1805" spans="1:2" x14ac:dyDescent="0.4">
      <c r="A1805" s="2" t="s">
        <v>3607</v>
      </c>
      <c r="B1805" s="2" t="s">
        <v>3608</v>
      </c>
    </row>
    <row r="1806" spans="1:2" x14ac:dyDescent="0.4">
      <c r="A1806" s="2" t="s">
        <v>3609</v>
      </c>
      <c r="B1806" s="2" t="s">
        <v>3610</v>
      </c>
    </row>
    <row r="1807" spans="1:2" x14ac:dyDescent="0.4">
      <c r="A1807" s="2" t="s">
        <v>3611</v>
      </c>
      <c r="B1807" s="2" t="s">
        <v>3612</v>
      </c>
    </row>
    <row r="1808" spans="1:2" x14ac:dyDescent="0.4">
      <c r="A1808" s="2" t="s">
        <v>3613</v>
      </c>
      <c r="B1808" s="2" t="s">
        <v>3614</v>
      </c>
    </row>
    <row r="1809" spans="1:2" x14ac:dyDescent="0.4">
      <c r="A1809" s="2" t="s">
        <v>3615</v>
      </c>
      <c r="B1809" s="2" t="s">
        <v>3616</v>
      </c>
    </row>
    <row r="1810" spans="1:2" x14ac:dyDescent="0.4">
      <c r="A1810" s="2" t="s">
        <v>3617</v>
      </c>
      <c r="B1810" s="2" t="s">
        <v>3618</v>
      </c>
    </row>
    <row r="1811" spans="1:2" x14ac:dyDescent="0.4">
      <c r="A1811" s="2" t="s">
        <v>3619</v>
      </c>
      <c r="B1811" s="2" t="s">
        <v>3620</v>
      </c>
    </row>
    <row r="1812" spans="1:2" x14ac:dyDescent="0.4">
      <c r="A1812" s="2" t="s">
        <v>3621</v>
      </c>
      <c r="B1812" s="2" t="s">
        <v>3622</v>
      </c>
    </row>
    <row r="1813" spans="1:2" x14ac:dyDescent="0.4">
      <c r="A1813" s="2" t="s">
        <v>3623</v>
      </c>
      <c r="B1813" s="2" t="s">
        <v>3624</v>
      </c>
    </row>
    <row r="1814" spans="1:2" x14ac:dyDescent="0.4">
      <c r="A1814" s="2" t="s">
        <v>3625</v>
      </c>
      <c r="B1814" s="2" t="s">
        <v>3626</v>
      </c>
    </row>
    <row r="1815" spans="1:2" x14ac:dyDescent="0.4">
      <c r="A1815" s="2" t="s">
        <v>3627</v>
      </c>
      <c r="B1815" s="2" t="s">
        <v>3628</v>
      </c>
    </row>
    <row r="1816" spans="1:2" x14ac:dyDescent="0.4">
      <c r="A1816" s="2" t="s">
        <v>3629</v>
      </c>
      <c r="B1816" s="2" t="s">
        <v>3630</v>
      </c>
    </row>
    <row r="1817" spans="1:2" x14ac:dyDescent="0.4">
      <c r="A1817" s="2" t="s">
        <v>3631</v>
      </c>
      <c r="B1817" s="2" t="s">
        <v>3632</v>
      </c>
    </row>
    <row r="1818" spans="1:2" x14ac:dyDescent="0.4">
      <c r="A1818" s="2" t="s">
        <v>3633</v>
      </c>
      <c r="B1818" s="2" t="s">
        <v>3634</v>
      </c>
    </row>
    <row r="1819" spans="1:2" x14ac:dyDescent="0.4">
      <c r="A1819" s="2" t="s">
        <v>3635</v>
      </c>
      <c r="B1819" s="2" t="s">
        <v>3636</v>
      </c>
    </row>
    <row r="1820" spans="1:2" x14ac:dyDescent="0.4">
      <c r="A1820" s="2" t="s">
        <v>3637</v>
      </c>
      <c r="B1820" s="2" t="s">
        <v>3638</v>
      </c>
    </row>
    <row r="1821" spans="1:2" x14ac:dyDescent="0.4">
      <c r="A1821" s="2" t="s">
        <v>3639</v>
      </c>
      <c r="B1821" s="2" t="s">
        <v>3640</v>
      </c>
    </row>
    <row r="1822" spans="1:2" x14ac:dyDescent="0.4">
      <c r="A1822" s="2" t="s">
        <v>3641</v>
      </c>
      <c r="B1822" s="2" t="s">
        <v>3642</v>
      </c>
    </row>
    <row r="1823" spans="1:2" x14ac:dyDescent="0.4">
      <c r="A1823" s="2" t="s">
        <v>3643</v>
      </c>
      <c r="B1823" s="2" t="s">
        <v>3644</v>
      </c>
    </row>
    <row r="1824" spans="1:2" x14ac:dyDescent="0.4">
      <c r="A1824" s="2" t="s">
        <v>3645</v>
      </c>
      <c r="B1824" s="2" t="s">
        <v>3646</v>
      </c>
    </row>
    <row r="1825" spans="1:2" x14ac:dyDescent="0.4">
      <c r="A1825" s="2" t="s">
        <v>3647</v>
      </c>
      <c r="B1825" s="2" t="s">
        <v>3648</v>
      </c>
    </row>
    <row r="1826" spans="1:2" x14ac:dyDescent="0.4">
      <c r="A1826" s="2" t="s">
        <v>3649</v>
      </c>
      <c r="B1826" s="2" t="s">
        <v>3650</v>
      </c>
    </row>
    <row r="1827" spans="1:2" x14ac:dyDescent="0.4">
      <c r="A1827" s="2" t="s">
        <v>3651</v>
      </c>
      <c r="B1827" s="2" t="s">
        <v>3652</v>
      </c>
    </row>
    <row r="1828" spans="1:2" x14ac:dyDescent="0.4">
      <c r="A1828" s="2" t="s">
        <v>3653</v>
      </c>
      <c r="B1828" s="2" t="s">
        <v>3654</v>
      </c>
    </row>
    <row r="1829" spans="1:2" x14ac:dyDescent="0.4">
      <c r="A1829" s="2" t="s">
        <v>3655</v>
      </c>
      <c r="B1829" s="2" t="s">
        <v>3656</v>
      </c>
    </row>
    <row r="1830" spans="1:2" x14ac:dyDescent="0.4">
      <c r="A1830" s="2" t="s">
        <v>3657</v>
      </c>
      <c r="B1830" s="2" t="s">
        <v>3658</v>
      </c>
    </row>
    <row r="1831" spans="1:2" x14ac:dyDescent="0.4">
      <c r="A1831" s="2" t="s">
        <v>3659</v>
      </c>
      <c r="B1831" s="2" t="s">
        <v>3660</v>
      </c>
    </row>
    <row r="1832" spans="1:2" x14ac:dyDescent="0.4">
      <c r="A1832" s="2" t="s">
        <v>3661</v>
      </c>
      <c r="B1832" s="2" t="s">
        <v>3662</v>
      </c>
    </row>
    <row r="1833" spans="1:2" x14ac:dyDescent="0.4">
      <c r="A1833" s="2" t="s">
        <v>3663</v>
      </c>
      <c r="B1833" s="2" t="s">
        <v>3664</v>
      </c>
    </row>
    <row r="1834" spans="1:2" x14ac:dyDescent="0.4">
      <c r="A1834" s="2" t="s">
        <v>3665</v>
      </c>
      <c r="B1834" s="2" t="s">
        <v>3666</v>
      </c>
    </row>
    <row r="1835" spans="1:2" x14ac:dyDescent="0.4">
      <c r="A1835" s="2" t="s">
        <v>3667</v>
      </c>
      <c r="B1835" s="2" t="s">
        <v>3668</v>
      </c>
    </row>
    <row r="1836" spans="1:2" x14ac:dyDescent="0.4">
      <c r="A1836" s="2" t="s">
        <v>3669</v>
      </c>
      <c r="B1836" s="2" t="s">
        <v>3670</v>
      </c>
    </row>
    <row r="1837" spans="1:2" x14ac:dyDescent="0.4">
      <c r="A1837" s="2" t="s">
        <v>3671</v>
      </c>
      <c r="B1837" s="2" t="s">
        <v>3672</v>
      </c>
    </row>
    <row r="1838" spans="1:2" x14ac:dyDescent="0.4">
      <c r="A1838" s="2" t="s">
        <v>3673</v>
      </c>
      <c r="B1838" s="2" t="s">
        <v>3674</v>
      </c>
    </row>
    <row r="1839" spans="1:2" x14ac:dyDescent="0.4">
      <c r="A1839" s="2" t="s">
        <v>3675</v>
      </c>
      <c r="B1839" s="2" t="s">
        <v>3676</v>
      </c>
    </row>
    <row r="1840" spans="1:2" x14ac:dyDescent="0.4">
      <c r="A1840" s="2" t="s">
        <v>3677</v>
      </c>
      <c r="B1840" s="2" t="s">
        <v>3678</v>
      </c>
    </row>
    <row r="1841" spans="1:2" x14ac:dyDescent="0.4">
      <c r="A1841" s="2" t="s">
        <v>3679</v>
      </c>
      <c r="B1841" s="2" t="s">
        <v>3680</v>
      </c>
    </row>
    <row r="1842" spans="1:2" x14ac:dyDescent="0.4">
      <c r="A1842" s="2" t="s">
        <v>3681</v>
      </c>
      <c r="B1842" s="2" t="s">
        <v>3682</v>
      </c>
    </row>
    <row r="1843" spans="1:2" x14ac:dyDescent="0.4">
      <c r="A1843" s="2" t="s">
        <v>3683</v>
      </c>
      <c r="B1843" s="2" t="s">
        <v>3684</v>
      </c>
    </row>
    <row r="1844" spans="1:2" x14ac:dyDescent="0.4">
      <c r="A1844" s="2" t="s">
        <v>3685</v>
      </c>
      <c r="B1844" s="2" t="s">
        <v>3686</v>
      </c>
    </row>
    <row r="1845" spans="1:2" x14ac:dyDescent="0.4">
      <c r="A1845" s="2" t="s">
        <v>3687</v>
      </c>
      <c r="B1845" s="2" t="s">
        <v>3688</v>
      </c>
    </row>
    <row r="1846" spans="1:2" x14ac:dyDescent="0.4">
      <c r="A1846" s="2" t="s">
        <v>3689</v>
      </c>
      <c r="B1846" s="2" t="s">
        <v>3690</v>
      </c>
    </row>
    <row r="1847" spans="1:2" x14ac:dyDescent="0.4">
      <c r="A1847" s="2" t="s">
        <v>3691</v>
      </c>
      <c r="B1847" s="2" t="s">
        <v>3692</v>
      </c>
    </row>
    <row r="1848" spans="1:2" x14ac:dyDescent="0.4">
      <c r="A1848" s="2" t="s">
        <v>3693</v>
      </c>
      <c r="B1848" s="2" t="s">
        <v>3694</v>
      </c>
    </row>
    <row r="1849" spans="1:2" x14ac:dyDescent="0.4">
      <c r="A1849" s="2" t="s">
        <v>3695</v>
      </c>
      <c r="B1849" s="2" t="s">
        <v>3696</v>
      </c>
    </row>
    <row r="1850" spans="1:2" x14ac:dyDescent="0.4">
      <c r="A1850" s="2" t="s">
        <v>3697</v>
      </c>
      <c r="B1850" s="2" t="s">
        <v>3698</v>
      </c>
    </row>
    <row r="1851" spans="1:2" x14ac:dyDescent="0.4">
      <c r="A1851" s="2" t="s">
        <v>3699</v>
      </c>
      <c r="B1851" s="2" t="s">
        <v>3700</v>
      </c>
    </row>
    <row r="1852" spans="1:2" x14ac:dyDescent="0.4">
      <c r="A1852" s="2" t="s">
        <v>3701</v>
      </c>
      <c r="B1852" s="2" t="s">
        <v>3702</v>
      </c>
    </row>
    <row r="1853" spans="1:2" x14ac:dyDescent="0.4">
      <c r="A1853" s="2" t="s">
        <v>3703</v>
      </c>
      <c r="B1853" s="2" t="s">
        <v>3704</v>
      </c>
    </row>
    <row r="1854" spans="1:2" x14ac:dyDescent="0.4">
      <c r="A1854" s="2" t="s">
        <v>3705</v>
      </c>
      <c r="B1854" s="2" t="s">
        <v>3706</v>
      </c>
    </row>
    <row r="1855" spans="1:2" x14ac:dyDescent="0.4">
      <c r="A1855" s="2" t="s">
        <v>3707</v>
      </c>
      <c r="B1855" s="2" t="s">
        <v>3708</v>
      </c>
    </row>
    <row r="1856" spans="1:2" x14ac:dyDescent="0.4">
      <c r="A1856" s="2" t="s">
        <v>3709</v>
      </c>
      <c r="B1856" s="2" t="s">
        <v>3710</v>
      </c>
    </row>
    <row r="1857" spans="1:2" x14ac:dyDescent="0.4">
      <c r="A1857" s="2" t="s">
        <v>3711</v>
      </c>
      <c r="B1857" s="2" t="s">
        <v>3712</v>
      </c>
    </row>
    <row r="1858" spans="1:2" x14ac:dyDescent="0.4">
      <c r="A1858" s="2" t="s">
        <v>3713</v>
      </c>
      <c r="B1858" s="2" t="s">
        <v>3714</v>
      </c>
    </row>
    <row r="1859" spans="1:2" x14ac:dyDescent="0.4">
      <c r="A1859" s="2" t="s">
        <v>3715</v>
      </c>
      <c r="B1859" s="2" t="s">
        <v>3716</v>
      </c>
    </row>
    <row r="1860" spans="1:2" x14ac:dyDescent="0.4">
      <c r="A1860" s="2" t="s">
        <v>3717</v>
      </c>
      <c r="B1860" s="2" t="s">
        <v>3718</v>
      </c>
    </row>
    <row r="1861" spans="1:2" x14ac:dyDescent="0.4">
      <c r="A1861" s="2" t="s">
        <v>3719</v>
      </c>
      <c r="B1861" s="2" t="s">
        <v>3720</v>
      </c>
    </row>
    <row r="1862" spans="1:2" x14ac:dyDescent="0.4">
      <c r="A1862" s="2" t="s">
        <v>3721</v>
      </c>
      <c r="B1862" s="2" t="s">
        <v>3722</v>
      </c>
    </row>
    <row r="1863" spans="1:2" x14ac:dyDescent="0.4">
      <c r="A1863" s="2" t="s">
        <v>3723</v>
      </c>
      <c r="B1863" s="2" t="s">
        <v>3724</v>
      </c>
    </row>
    <row r="1864" spans="1:2" x14ac:dyDescent="0.4">
      <c r="A1864" s="2" t="s">
        <v>3725</v>
      </c>
      <c r="B1864" s="2" t="s">
        <v>3726</v>
      </c>
    </row>
    <row r="1865" spans="1:2" x14ac:dyDescent="0.4">
      <c r="A1865" s="2" t="s">
        <v>3727</v>
      </c>
      <c r="B1865" s="2" t="s">
        <v>3728</v>
      </c>
    </row>
    <row r="1866" spans="1:2" x14ac:dyDescent="0.4">
      <c r="A1866" s="2" t="s">
        <v>3729</v>
      </c>
      <c r="B1866" s="2" t="s">
        <v>3730</v>
      </c>
    </row>
    <row r="1867" spans="1:2" x14ac:dyDescent="0.4">
      <c r="A1867" s="2" t="s">
        <v>3731</v>
      </c>
      <c r="B1867" s="2" t="s">
        <v>3732</v>
      </c>
    </row>
    <row r="1868" spans="1:2" x14ac:dyDescent="0.4">
      <c r="A1868" s="2" t="s">
        <v>3733</v>
      </c>
      <c r="B1868" s="2" t="s">
        <v>3734</v>
      </c>
    </row>
    <row r="1869" spans="1:2" x14ac:dyDescent="0.4">
      <c r="A1869" s="2" t="s">
        <v>3735</v>
      </c>
      <c r="B1869" s="2" t="s">
        <v>3736</v>
      </c>
    </row>
    <row r="1870" spans="1:2" x14ac:dyDescent="0.4">
      <c r="A1870" s="2" t="s">
        <v>3737</v>
      </c>
      <c r="B1870" s="2" t="s">
        <v>3738</v>
      </c>
    </row>
    <row r="1871" spans="1:2" x14ac:dyDescent="0.4">
      <c r="A1871" s="2" t="s">
        <v>3739</v>
      </c>
      <c r="B1871" s="2" t="s">
        <v>3740</v>
      </c>
    </row>
    <row r="1872" spans="1:2" x14ac:dyDescent="0.4">
      <c r="A1872" s="2" t="s">
        <v>3741</v>
      </c>
      <c r="B1872" s="2" t="s">
        <v>3742</v>
      </c>
    </row>
    <row r="1873" spans="1:2" x14ac:dyDescent="0.4">
      <c r="A1873" s="2" t="s">
        <v>3743</v>
      </c>
      <c r="B1873" s="2" t="s">
        <v>3744</v>
      </c>
    </row>
    <row r="1874" spans="1:2" x14ac:dyDescent="0.4">
      <c r="A1874" s="2" t="s">
        <v>3745</v>
      </c>
      <c r="B1874" s="2" t="s">
        <v>3746</v>
      </c>
    </row>
    <row r="1875" spans="1:2" x14ac:dyDescent="0.4">
      <c r="A1875" s="2" t="s">
        <v>3747</v>
      </c>
      <c r="B1875" s="2" t="s">
        <v>3748</v>
      </c>
    </row>
    <row r="1876" spans="1:2" x14ac:dyDescent="0.4">
      <c r="A1876" s="2" t="s">
        <v>3749</v>
      </c>
      <c r="B1876" s="2" t="s">
        <v>3750</v>
      </c>
    </row>
    <row r="1877" spans="1:2" x14ac:dyDescent="0.4">
      <c r="A1877" s="2" t="s">
        <v>3751</v>
      </c>
      <c r="B1877" s="2" t="s">
        <v>3752</v>
      </c>
    </row>
    <row r="1878" spans="1:2" x14ac:dyDescent="0.4">
      <c r="A1878" s="2" t="s">
        <v>3753</v>
      </c>
      <c r="B1878" s="2" t="s">
        <v>3754</v>
      </c>
    </row>
    <row r="1879" spans="1:2" x14ac:dyDescent="0.4">
      <c r="A1879" s="2" t="s">
        <v>3755</v>
      </c>
      <c r="B1879" s="2" t="s">
        <v>3756</v>
      </c>
    </row>
    <row r="1880" spans="1:2" x14ac:dyDescent="0.4">
      <c r="A1880" s="2" t="s">
        <v>3757</v>
      </c>
      <c r="B1880" s="2" t="s">
        <v>3758</v>
      </c>
    </row>
    <row r="1881" spans="1:2" x14ac:dyDescent="0.4">
      <c r="A1881" s="2" t="s">
        <v>3759</v>
      </c>
      <c r="B1881" s="2" t="s">
        <v>3760</v>
      </c>
    </row>
    <row r="1882" spans="1:2" x14ac:dyDescent="0.4">
      <c r="A1882" s="2" t="s">
        <v>3761</v>
      </c>
      <c r="B1882" s="2" t="s">
        <v>3762</v>
      </c>
    </row>
    <row r="1883" spans="1:2" x14ac:dyDescent="0.4">
      <c r="A1883" s="2" t="s">
        <v>3763</v>
      </c>
      <c r="B1883" s="2" t="s">
        <v>3764</v>
      </c>
    </row>
    <row r="1884" spans="1:2" x14ac:dyDescent="0.4">
      <c r="A1884" s="2" t="s">
        <v>3765</v>
      </c>
      <c r="B1884" s="2" t="s">
        <v>3766</v>
      </c>
    </row>
    <row r="1885" spans="1:2" x14ac:dyDescent="0.4">
      <c r="A1885" s="2" t="s">
        <v>3767</v>
      </c>
      <c r="B1885" s="2" t="s">
        <v>3768</v>
      </c>
    </row>
    <row r="1886" spans="1:2" x14ac:dyDescent="0.4">
      <c r="A1886" s="2" t="s">
        <v>3769</v>
      </c>
      <c r="B1886" s="2" t="s">
        <v>3770</v>
      </c>
    </row>
    <row r="1887" spans="1:2" x14ac:dyDescent="0.4">
      <c r="A1887" s="2" t="s">
        <v>3771</v>
      </c>
      <c r="B1887" s="2" t="s">
        <v>3772</v>
      </c>
    </row>
    <row r="1888" spans="1:2" x14ac:dyDescent="0.4">
      <c r="A1888" s="2" t="s">
        <v>3773</v>
      </c>
      <c r="B1888" s="2" t="s">
        <v>3774</v>
      </c>
    </row>
    <row r="1889" spans="1:2" x14ac:dyDescent="0.4">
      <c r="A1889" s="2" t="s">
        <v>3775</v>
      </c>
      <c r="B1889" s="2" t="s">
        <v>3776</v>
      </c>
    </row>
    <row r="1890" spans="1:2" x14ac:dyDescent="0.4">
      <c r="A1890" s="2" t="s">
        <v>3777</v>
      </c>
      <c r="B1890" s="2" t="s">
        <v>3778</v>
      </c>
    </row>
    <row r="1891" spans="1:2" x14ac:dyDescent="0.4">
      <c r="A1891" s="2" t="s">
        <v>3779</v>
      </c>
      <c r="B1891" s="2" t="s">
        <v>3780</v>
      </c>
    </row>
    <row r="1892" spans="1:2" x14ac:dyDescent="0.4">
      <c r="A1892" s="2" t="s">
        <v>3781</v>
      </c>
      <c r="B1892" s="2" t="s">
        <v>3782</v>
      </c>
    </row>
    <row r="1893" spans="1:2" x14ac:dyDescent="0.4">
      <c r="A1893" s="2" t="s">
        <v>3783</v>
      </c>
      <c r="B1893" s="2" t="s">
        <v>3784</v>
      </c>
    </row>
    <row r="1894" spans="1:2" x14ac:dyDescent="0.4">
      <c r="A1894" s="2" t="s">
        <v>3785</v>
      </c>
      <c r="B1894" s="2" t="s">
        <v>3786</v>
      </c>
    </row>
    <row r="1895" spans="1:2" x14ac:dyDescent="0.4">
      <c r="A1895" s="2" t="s">
        <v>3787</v>
      </c>
      <c r="B1895" s="2" t="s">
        <v>3788</v>
      </c>
    </row>
    <row r="1896" spans="1:2" x14ac:dyDescent="0.4">
      <c r="A1896" s="2" t="s">
        <v>3789</v>
      </c>
      <c r="B1896" s="2" t="s">
        <v>3790</v>
      </c>
    </row>
    <row r="1897" spans="1:2" x14ac:dyDescent="0.4">
      <c r="A1897" s="2" t="s">
        <v>3791</v>
      </c>
      <c r="B1897" s="2" t="s">
        <v>3792</v>
      </c>
    </row>
    <row r="1898" spans="1:2" x14ac:dyDescent="0.4">
      <c r="A1898" s="2" t="s">
        <v>3793</v>
      </c>
      <c r="B1898" s="2" t="s">
        <v>3794</v>
      </c>
    </row>
    <row r="1899" spans="1:2" x14ac:dyDescent="0.4">
      <c r="A1899" s="2" t="s">
        <v>3795</v>
      </c>
      <c r="B1899" s="2" t="s">
        <v>3796</v>
      </c>
    </row>
    <row r="1900" spans="1:2" x14ac:dyDescent="0.4">
      <c r="A1900" s="2" t="s">
        <v>3797</v>
      </c>
      <c r="B1900" s="2" t="s">
        <v>3798</v>
      </c>
    </row>
    <row r="1901" spans="1:2" x14ac:dyDescent="0.4">
      <c r="A1901" s="2" t="s">
        <v>3799</v>
      </c>
      <c r="B1901" s="2" t="s">
        <v>3800</v>
      </c>
    </row>
    <row r="1902" spans="1:2" x14ac:dyDescent="0.4">
      <c r="A1902" s="2" t="s">
        <v>3801</v>
      </c>
      <c r="B1902" s="2" t="s">
        <v>3802</v>
      </c>
    </row>
    <row r="1903" spans="1:2" x14ac:dyDescent="0.4">
      <c r="A1903" s="2" t="s">
        <v>3803</v>
      </c>
      <c r="B1903" s="2" t="s">
        <v>3804</v>
      </c>
    </row>
    <row r="1904" spans="1:2" x14ac:dyDescent="0.4">
      <c r="A1904" s="2" t="s">
        <v>3805</v>
      </c>
      <c r="B1904" s="2" t="s">
        <v>3806</v>
      </c>
    </row>
    <row r="1905" spans="1:2" x14ac:dyDescent="0.4">
      <c r="A1905" s="2" t="s">
        <v>3807</v>
      </c>
      <c r="B1905" s="2" t="s">
        <v>3808</v>
      </c>
    </row>
    <row r="1906" spans="1:2" x14ac:dyDescent="0.4">
      <c r="A1906" s="2" t="s">
        <v>3809</v>
      </c>
      <c r="B1906" s="2" t="s">
        <v>3810</v>
      </c>
    </row>
    <row r="1907" spans="1:2" x14ac:dyDescent="0.4">
      <c r="A1907" s="2" t="s">
        <v>3811</v>
      </c>
      <c r="B1907" s="2" t="s">
        <v>3812</v>
      </c>
    </row>
    <row r="1908" spans="1:2" x14ac:dyDescent="0.4">
      <c r="A1908" s="2" t="s">
        <v>3813</v>
      </c>
      <c r="B1908" s="2" t="s">
        <v>3814</v>
      </c>
    </row>
    <row r="1909" spans="1:2" x14ac:dyDescent="0.4">
      <c r="A1909" s="2" t="s">
        <v>3815</v>
      </c>
      <c r="B1909" s="2" t="s">
        <v>3816</v>
      </c>
    </row>
    <row r="1910" spans="1:2" x14ac:dyDescent="0.4">
      <c r="A1910" s="2" t="s">
        <v>3817</v>
      </c>
      <c r="B1910" s="2" t="s">
        <v>3818</v>
      </c>
    </row>
    <row r="1911" spans="1:2" x14ac:dyDescent="0.4">
      <c r="A1911" s="2" t="s">
        <v>3819</v>
      </c>
      <c r="B1911" s="2" t="s">
        <v>3820</v>
      </c>
    </row>
    <row r="1912" spans="1:2" x14ac:dyDescent="0.4">
      <c r="A1912" s="2" t="s">
        <v>3821</v>
      </c>
      <c r="B1912" s="2" t="s">
        <v>3822</v>
      </c>
    </row>
    <row r="1913" spans="1:2" x14ac:dyDescent="0.4">
      <c r="A1913" s="2" t="s">
        <v>3823</v>
      </c>
      <c r="B1913" s="2" t="s">
        <v>3824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B2BB97-EE6C-43A6-BC3D-460A6AADED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主頁面</vt:lpstr>
      <vt:lpstr>上市公司列表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Tang</dc:creator>
  <cp:lastModifiedBy>David Tang</cp:lastModifiedBy>
  <cp:lastPrinted>2017-08-09T11:15:36Z</cp:lastPrinted>
  <dcterms:created xsi:type="dcterms:W3CDTF">2017-08-08T15:58:41Z</dcterms:created>
  <dcterms:modified xsi:type="dcterms:W3CDTF">2018-06-20T17:53:01Z</dcterms:modified>
</cp:coreProperties>
</file>